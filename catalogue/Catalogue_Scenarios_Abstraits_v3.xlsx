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Catalogue" sheetId="2" state="visible" r:id="rId2"/>
    <sheet xmlns:r="http://schemas.openxmlformats.org/officeDocument/2006/relationships" name="Matrice" sheetId="3" state="visible" r:id="rId3"/>
    <sheet xmlns:r="http://schemas.openxmlformats.org/officeDocument/2006/relationships" name="Behaviors" sheetId="4" state="visible" r:id="rId4"/>
    <sheet xmlns:r="http://schemas.openxmlformats.org/officeDocument/2006/relationships" name="Justification HIRE" sheetId="5" state="visible" r:id="rId5"/>
    <sheet xmlns:r="http://schemas.openxmlformats.org/officeDocument/2006/relationships" name="Trous HIRE" sheetId="6" state="visible" r:id="rId6"/>
    <sheet xmlns:r="http://schemas.openxmlformats.org/officeDocument/2006/relationships" name="Couverture NHTSA" sheetId="7" state="visible" r:id="rId7"/>
    <sheet xmlns:r="http://schemas.openxmlformats.org/officeDocument/2006/relationships" name="Couverture Foretellix" sheetId="8" state="visible" r:id="rId8"/>
    <sheet xmlns:r="http://schemas.openxmlformats.org/officeDocument/2006/relationships" name="Exigences Jama" sheetId="9" state="visible" r:id="rId9"/>
  </sheets>
  <definedNames>
    <definedName name="_xlnm._FilterDatabase" localSheetId="1" hidden="1">'Catalogue'!$A$4:$U$125</definedName>
    <definedName name="_xlnm._FilterDatabase" localSheetId="4" hidden="1">'Justification HIRE'!$A$4:$M$262</definedName>
    <definedName name="_xlnm._FilterDatabase" localSheetId="5" hidden="1">'Trous HIRE'!$A$4:$K$145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A6B46"/>
      <sz val="14"/>
    </font>
    <font>
      <name val="Arial"/>
      <i val="1"/>
      <color rgb="0056655E"/>
      <sz val="9"/>
    </font>
    <font>
      <name val="Arial"/>
      <b val="1"/>
      <color rgb="000A6B46"/>
      <sz val="10"/>
    </font>
    <font>
      <name val="Arial"/>
      <sz val="10"/>
    </font>
    <font>
      <name val="Arial"/>
      <b val="1"/>
      <color rgb="00FFFFFF"/>
      <sz val="10"/>
    </font>
    <font>
      <name val="Arial"/>
      <sz val="9"/>
    </font>
    <font>
      <name val="Arial"/>
      <b val="1"/>
    </font>
    <font>
      <name val="Arial"/>
      <b val="1"/>
      <sz val="9"/>
    </font>
    <font>
      <name val="Arial"/>
      <i val="1"/>
      <sz val="9"/>
    </font>
  </fonts>
  <fills count="6">
    <fill>
      <patternFill/>
    </fill>
    <fill>
      <patternFill patternType="gray125"/>
    </fill>
    <fill>
      <patternFill patternType="solid">
        <fgColor rgb="000A6B46"/>
      </patternFill>
    </fill>
    <fill>
      <patternFill patternType="solid">
        <fgColor rgb="00E3EEE8"/>
      </patternFill>
    </fill>
    <fill>
      <patternFill patternType="solid">
        <fgColor rgb="00CFE8DA"/>
      </patternFill>
    </fill>
    <fill>
      <patternFill patternType="solid">
        <fgColor rgb="00FBEBCB"/>
      </patternFill>
    </fill>
  </fills>
  <borders count="2">
    <border>
      <left/>
      <right/>
      <top/>
      <bottom/>
      <diagonal/>
    </border>
    <border>
      <left style="thin">
        <color rgb="00C8D2CC"/>
      </left>
      <right style="thin">
        <color rgb="00C8D2CC"/>
      </right>
      <top style="thin">
        <color rgb="00C8D2CC"/>
      </top>
      <bottom style="thin">
        <color rgb="00C8D2C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7" fillId="0" borderId="0" pivotButton="0" quotePrefix="0" xfId="0"/>
    <xf numFmtId="0" fontId="5" fillId="2" borderId="1" applyAlignment="1" pivotButton="0" quotePrefix="0" xfId="0">
      <alignment horizontal="center" vertical="bottom" textRotation="90"/>
    </xf>
    <xf numFmtId="0" fontId="8" fillId="3" borderId="1" applyAlignment="1" pivotButton="0" quotePrefix="0" xfId="0">
      <alignment vertical="top"/>
    </xf>
    <xf numFmtId="0" fontId="6" fillId="3" borderId="1" applyAlignment="1" pivotButton="0" quotePrefix="0" xfId="0">
      <alignment vertical="top"/>
    </xf>
    <xf numFmtId="0" fontId="6" fillId="3" borderId="1" applyAlignment="1" pivotButton="0" quotePrefix="0" xfId="0">
      <alignment horizontal="center"/>
    </xf>
    <xf numFmtId="0" fontId="6" fillId="0" borderId="1" applyAlignment="1" pivotButton="0" quotePrefix="0" xfId="0">
      <alignment vertical="top"/>
    </xf>
    <xf numFmtId="0" fontId="6" fillId="4" borderId="1" applyAlignment="1" pivotButton="0" quotePrefix="0" xfId="0">
      <alignment horizontal="center"/>
    </xf>
    <xf numFmtId="0" fontId="6" fillId="0" borderId="1" applyAlignment="1" pivotButton="0" quotePrefix="0" xfId="0">
      <alignment horizontal="center"/>
    </xf>
    <xf numFmtId="0" fontId="6" fillId="5" borderId="1" applyAlignment="1" pivotButton="0" quotePrefix="0" xfId="0">
      <alignment horizontal="center"/>
    </xf>
    <xf numFmtId="0" fontId="6" fillId="4" borderId="1" applyAlignment="1" pivotButton="0" quotePrefix="0" xfId="0">
      <alignment vertical="top" wrapText="1"/>
    </xf>
    <xf numFmtId="0" fontId="6" fillId="5"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zoomScale="90" workbookViewId="0">
      <selection activeCell="A1" sqref="A1"/>
    </sheetView>
  </sheetViews>
  <sheetFormatPr baseColWidth="8" defaultRowHeight="15"/>
  <cols>
    <col width="26" customWidth="1" min="1" max="1"/>
    <col width="130" customWidth="1" min="2" max="2"/>
  </cols>
  <sheetData>
    <row r="1">
      <c r="A1" s="1" t="inlineStr">
        <is>
          <t>Catalogue des scénarios abstraits et lien Behavior × Catalogue (v3, PROPOSED)</t>
        </is>
      </c>
    </row>
    <row r="2">
      <c r="A2" s="2" t="inlineStr">
        <is>
          <t>SERYTI pour Torc Robotics, DO-Crawl I-35 South, 7 octobre 2026. Même contenu que l'outil Scenario Studio.</t>
        </is>
      </c>
    </row>
    <row r="4">
      <c r="A4" s="3" t="inlineStr">
        <is>
          <t>Ce que c'est</t>
        </is>
      </c>
      <c r="B4" s="4" t="inlineStr">
        <is>
          <t>121 scénarios abstraits (situations uniques) et leurs liens vers les 21 behaviors de la Behavior Table Torc. Un abstract peut vérifier plusieurs behaviors (lien n:m) : 258 liens au total.</t>
        </is>
      </c>
    </row>
    <row r="5">
      <c r="A5" s="3" t="inlineStr">
        <is>
          <t>D'où viennent les abstracts</t>
        </is>
      </c>
      <c r="B5" s="4" t="inlineStr">
        <is>
          <t>Écrits par SERYTI. Ils ne viennent pas de la bibliothèque Foretellix (sous licence) : seule la structure (acteurs, phases, paramètres, coverage) suit le format Foretellix. Sources : Miro Torc (Concrete A/B), HAZOP/HIRE v2, catalogue TC-CRAWL V3, typologie NHTSA pré-crash (DOT HS 810 767), définitions Jama des behaviors (export du 26/03/2026).</t>
        </is>
      </c>
    </row>
    <row r="6">
      <c r="A6" s="3" t="inlineStr">
        <is>
          <t>Foretellix</t>
        </is>
      </c>
      <c r="B6" s="4" t="inlineStr">
        <is>
          <t>La bibliothèque publique Foretellix / SAFE « Highway and ADAS Traffic Scenario Library » (VMAD-SG1-11-06, novembre 2020, 13 scénarios fonctionnels) a été croisée avec le catalogue : 9 abstracts ont été ajoutés pour les situations applicables qui manquaient (convoi lent à côté, lane hugger, file arrêtée à côté, courbe avec voisin, leader qui sort, convoi qui s'insère, entrecroisement à l'insertion, double cut-in, cut-out simple). Onglet « Couverture Foretellix ». Le catalogue Torc réel est la « L4 Highway Trucking V-Suite » de Foretellix, non publique : à demander (scenario index and coverage model).</t>
        </is>
      </c>
    </row>
    <row r="7">
      <c r="A7" s="3" t="inlineStr">
        <is>
          <t>Justification HIRE</t>
        </is>
      </c>
      <c r="B7" s="4" t="inlineStr">
        <is>
          <t>Chaque lien abstract → behavior est justifié par des lignes du HIRE v2 (2026_SDT_HIRE_from_HAZOP_v2, 1 156 HARA) et rattaché aux HFS (Hazardous_Functional_Scenarios_V1). Règle : « justifié » quand le HIRE du behavior relie une commande sollicitée par la scène (décélération, braquage, accélération, clignotant, feux) au hazard pour lequel l'abstract a été écrit ; « justifié indirectement » quand c'est un autre hazard exposé par la scène, ou quand l'abstract n'est pas encore générable (hazard seul). Onglets « Justification HIRE » (une ligne par lien) et « Trous HIRE » (combinaisons du HIRE sans abstract).</t>
        </is>
      </c>
    </row>
    <row r="8">
      <c r="A8" s="3" t="inlineStr">
        <is>
          <t>Ce que l'analyse a changé</t>
        </is>
      </c>
      <c r="B8" s="4" t="inlineStr">
        <is>
          <t>5 liens ajoutés parce que le HIRE contient la condition ODD pour ce behavior et qu'aucun abstract ne la couvrait (OBJ-04, LC-OOD-04 et OBJ-06 pour Cruise ; RD-13 et OBJ-02 pour Controlled Stop on Shoulder), et 1 abstract créé : RMP-14 (bretelle d'accès en courbe et en pente, H5 de On-Ramp Merge).</t>
        </is>
      </c>
    </row>
    <row r="9">
      <c r="A9" s="3" t="inlineStr">
        <is>
          <t>Ce qui manque</t>
        </is>
      </c>
      <c r="B9" s="4" t="inlineStr">
        <is>
          <t>Le catalogue de Matthieu (environ 104 abstracts, colonne A famille, colonne B abstract, nombre à confirmer) n'est pas dans le dossier. La colonne « Équivalent catalogue Matthieu » de l'onglet Catalogue est prévue pour faire le rapprochement.</t>
        </is>
      </c>
    </row>
    <row r="10">
      <c r="A10" s="3" t="inlineStr">
        <is>
          <t>Intention du SDT</t>
        </is>
      </c>
      <c r="B10" s="4" t="inlineStr">
        <is>
          <t>Chaque behavior impose une intention au SDT pour la génération : K rester dans la voie, L changement de voie, M se décaler, S arrêt sur l'accotement, I arrêt en voie, E évitement latéral. L'intention est observée sur l'ADS, jamais scriptée dans l'OSC.</t>
        </is>
      </c>
    </row>
    <row r="11">
      <c r="A11" s="3" t="inlineStr">
        <is>
          <t>Génération</t>
        </is>
      </c>
      <c r="B11" s="4" t="inlineStr">
        <is>
          <t>Les abstracts autoroute et les abstracts urbains en voie sont générables dans l'outil (acteurs A à O). Les intersections, la marche arrière, le contresens et la cour du hub ne le sont pas encore (jalon 2) : ils sont dans le catalogue et dans la matrice, sans génération.</t>
        </is>
      </c>
    </row>
    <row r="12">
      <c r="A12" s="3" t="inlineStr">
        <is>
          <t>Exigences Jama</t>
        </is>
      </c>
      <c r="B12" s="4" t="inlineStr">
        <is>
          <t>Liens proposés vers les exigences de l'export « Driver Out 2026 SDT Requirements » (définitions des behaviors, Lane Change, Stay in Lane, OMV, vitesses) et vers TORC-SYSRQ-15232 et TORC-FSR-3752 (instantané local du repo Scenario Studio). À relire.</t>
        </is>
      </c>
    </row>
    <row r="13">
      <c r="A13" s="3" t="inlineStr">
        <is>
          <t>Onglets</t>
        </is>
      </c>
      <c r="B13" s="4" t="inlineStr">
        <is>
          <t>Catalogue · Matrice Behavior × Abstract · Justification HIRE · Trous HIRE · Behaviors · Couverture NHTSA · Couverture Foretellix · Exigences Jama.</t>
        </is>
      </c>
    </row>
    <row r="14">
      <c r="A14" s="3" t="inlineStr">
        <is>
          <t>Statut</t>
        </is>
      </c>
      <c r="B14" s="4" t="inlineStr">
        <is>
          <t>PROPOSED. Aucun lien n'est validé par Torc.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27"/>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34" customWidth="1" min="3" max="3"/>
    <col width="50" customWidth="1" min="4" max="4"/>
    <col width="12" customWidth="1" min="5" max="5"/>
    <col width="26" customWidth="1" min="6" max="6"/>
    <col width="9" customWidth="1" min="7" max="7"/>
    <col width="40" customWidth="1" min="8" max="8"/>
    <col width="10" customWidth="1" min="9" max="9"/>
    <col width="11" customWidth="1" min="10" max="10"/>
    <col width="11" customWidth="1" min="11" max="11"/>
    <col width="10" customWidth="1" min="12" max="12"/>
    <col width="34" customWidth="1" min="13" max="13"/>
    <col width="10" customWidth="1" min="14" max="14"/>
    <col width="30" customWidth="1" min="15" max="15"/>
    <col width="36" customWidth="1" min="16" max="16"/>
    <col width="11" customWidth="1" min="17" max="17"/>
    <col width="22" customWidth="1" min="18" max="18"/>
    <col width="11" customWidth="1" min="19" max="19"/>
    <col width="26" customWidth="1" min="20" max="20"/>
    <col width="30" customWidth="1" min="21" max="21"/>
  </cols>
  <sheetData>
    <row r="1">
      <c r="A1" s="1" t="inlineStr">
        <is>
          <t>Catalogue : une ligne par scénario abstrait</t>
        </is>
      </c>
    </row>
    <row r="2">
      <c r="A2" s="2" t="inlineStr">
        <is>
          <t>Concrets = combinaisons générées par l'outil avec les valeurs par défaut, sommées sur les behaviors liés.</t>
        </is>
      </c>
    </row>
    <row r="4">
      <c r="A4" s="5" t="inlineStr">
        <is>
          <t>ID</t>
        </is>
      </c>
      <c r="B4" s="5" t="inlineStr">
        <is>
          <t>Famille</t>
        </is>
      </c>
      <c r="C4" s="5" t="inlineStr">
        <is>
          <t>Titre</t>
        </is>
      </c>
      <c r="D4" s="5" t="inlineStr">
        <is>
          <t>Description</t>
        </is>
      </c>
      <c r="E4" s="5" t="inlineStr">
        <is>
          <t>Use cases</t>
        </is>
      </c>
      <c r="F4" s="5" t="inlineStr">
        <is>
          <t>Behaviors liés</t>
        </is>
      </c>
      <c r="G4" s="5" t="inlineStr">
        <is>
          <t>Nb behaviors</t>
        </is>
      </c>
      <c r="H4" s="5" t="inlineStr">
        <is>
          <t>Acteurs (slot, présence, types, manœuvres)</t>
        </is>
      </c>
      <c r="I4" s="5" t="inlineStr">
        <is>
          <t>Générable</t>
        </is>
      </c>
      <c r="J4" s="5" t="inlineStr">
        <is>
          <t>Combinaisons</t>
        </is>
      </c>
      <c r="K4" s="5" t="inlineStr">
        <is>
          <t>Concrets retenus</t>
        </is>
      </c>
      <c r="L4" s="5" t="inlineStr">
        <is>
          <t>Concrets exclus</t>
        </is>
      </c>
      <c r="M4" s="5" t="inlineStr">
        <is>
          <t>NHTSA pré-crash</t>
        </is>
      </c>
      <c r="N4" s="5" t="inlineStr">
        <is>
          <t>Hazards</t>
        </is>
      </c>
      <c r="O4" s="5" t="inlineStr">
        <is>
          <t>Triggering conditions</t>
        </is>
      </c>
      <c r="P4" s="5" t="inlineStr">
        <is>
          <t>Exigences Jama</t>
        </is>
      </c>
      <c r="Q4" s="5" t="inlineStr">
        <is>
          <t>Dépend de la perception</t>
        </is>
      </c>
      <c r="R4" s="5" t="inlineStr">
        <is>
          <t>Source</t>
        </is>
      </c>
      <c r="S4" s="5" t="inlineStr">
        <is>
          <t>Statut</t>
        </is>
      </c>
      <c r="T4" s="5" t="inlineStr">
        <is>
          <t>Équivalent catalogue Matthieu</t>
        </is>
      </c>
      <c r="U4" s="5" t="inlineStr">
        <is>
          <t>Foretellix SAFE (VMAD 2020)</t>
        </is>
      </c>
    </row>
    <row r="5">
      <c r="A5" s="6" t="inlineStr">
        <is>
          <t>LV-01</t>
        </is>
      </c>
      <c r="B5" s="6" t="inlineStr">
        <is>
          <t>LV</t>
        </is>
      </c>
      <c r="C5" s="6" t="inlineStr">
        <is>
          <t>Route libre, aucun leader</t>
        </is>
      </c>
      <c r="D5" s="6" t="inlineStr">
        <is>
          <t>Le SDT roule seul dans sa voie : comportement par défaut, vitesse et centrage.</t>
        </is>
      </c>
      <c r="E5" s="6" t="inlineStr">
        <is>
          <t>Highway</t>
        </is>
      </c>
      <c r="F5" s="6" t="inlineStr">
        <is>
          <t>HW-CRU, URB-CRU</t>
        </is>
      </c>
      <c r="G5" s="6">
        <f>IF(F5="",0,LEN(F5)-LEN(SUBSTITUTE(F5,",",""))+1)</f>
        <v/>
      </c>
      <c r="H5" s="6" t="inlineStr">
        <is>
          <t>aucun (SDT seul)</t>
        </is>
      </c>
      <c r="I5" s="6" t="inlineStr">
        <is>
          <t>oui</t>
        </is>
      </c>
      <c r="J5" s="6" t="n">
        <v>24</v>
      </c>
      <c r="K5" s="6" t="n">
        <v>20</v>
      </c>
      <c r="L5" s="6" t="n">
        <v>4</v>
      </c>
      <c r="M5" s="6" t="inlineStr"/>
      <c r="N5" s="6" t="inlineStr">
        <is>
          <t>H1, H5</t>
        </is>
      </c>
      <c r="O5" s="6" t="inlineStr"/>
      <c r="P5" s="6" t="inlineStr">
        <is>
          <t>TORC-SYSRQ-10155, TORC-SYSRQ-10154, TORC-SYSRQ-10161, TORC-SYSRQ-10167, TORC-SYSRQ-14118</t>
        </is>
      </c>
      <c r="Q5" s="6" t="inlineStr">
        <is>
          <t>non</t>
        </is>
      </c>
      <c r="R5" s="6" t="inlineStr">
        <is>
          <t>SERYTI catalogue v1 (PROPOSED)</t>
        </is>
      </c>
      <c r="S5" s="6" t="inlineStr">
        <is>
          <t>PROPOSED</t>
        </is>
      </c>
      <c r="T5" s="6" t="inlineStr"/>
      <c r="U5" s="6" t="inlineStr"/>
    </row>
    <row r="6">
      <c r="A6" s="6" t="inlineStr">
        <is>
          <t>LV-02</t>
        </is>
      </c>
      <c r="B6" s="6" t="inlineStr">
        <is>
          <t>LV</t>
        </is>
      </c>
      <c r="C6" s="6" t="inlineStr">
        <is>
          <t>Leader plus lent à vitesse constante</t>
        </is>
      </c>
      <c r="D6" s="6" t="inlineStr">
        <is>
          <t>Le SDT rattrape un véhicule plus lent dans sa voie et passe en suivi.</t>
        </is>
      </c>
      <c r="E6" s="6" t="inlineStr">
        <is>
          <t>Highway</t>
        </is>
      </c>
      <c r="F6" s="6" t="inlineStr">
        <is>
          <t>HW-CRU, HW-FOL, URB-FOL</t>
        </is>
      </c>
      <c r="G6" s="6">
        <f>IF(F6="",0,LEN(F6)-LEN(SUBSTITUTE(F6,",",""))+1)</f>
        <v/>
      </c>
      <c r="H6" s="6" t="inlineStr">
        <is>
          <t>A (obligatoire) : car, tractor_trailer</t>
        </is>
      </c>
      <c r="I6" s="6" t="inlineStr">
        <is>
          <t>oui</t>
        </is>
      </c>
      <c r="J6" s="6" t="n">
        <v>216</v>
      </c>
      <c r="K6" s="6" t="n">
        <v>216</v>
      </c>
      <c r="L6" s="6" t="n">
        <v>0</v>
      </c>
      <c r="M6" s="6" t="inlineStr">
        <is>
          <t>#25 Lead vehicle moving at lower constant speed</t>
        </is>
      </c>
      <c r="N6" s="6" t="inlineStr">
        <is>
          <t>H2</t>
        </is>
      </c>
      <c r="O6" s="6" t="inlineStr"/>
      <c r="P6" s="6" t="inlineStr">
        <is>
          <t>TORC-SYSRQ-14122, TORC-SYSRQ-14066</t>
        </is>
      </c>
      <c r="Q6" s="6" t="inlineStr">
        <is>
          <t>non</t>
        </is>
      </c>
      <c r="R6" s="6" t="inlineStr">
        <is>
          <t>SERYTI catalogue v1 (PROPOSED)</t>
        </is>
      </c>
      <c r="S6" s="6" t="inlineStr">
        <is>
          <t>PROPOSED</t>
        </is>
      </c>
      <c r="T6" s="6" t="inlineStr"/>
      <c r="U6" s="6" t="inlineStr">
        <is>
          <t>§11 Lead vehicle (couvert)</t>
        </is>
      </c>
    </row>
    <row r="7">
      <c r="A7" s="6" t="inlineStr">
        <is>
          <t>LV-03</t>
        </is>
      </c>
      <c r="B7" s="6" t="inlineStr">
        <is>
          <t>LV</t>
        </is>
      </c>
      <c r="C7" s="6" t="inlineStr">
        <is>
          <t>Leader qui décélère modérément</t>
        </is>
      </c>
      <c r="D7" s="6" t="inlineStr">
        <is>
          <t>Le leader ralentit sans urgence ; le SDT ajuste sa distance.</t>
        </is>
      </c>
      <c r="E7" s="6" t="inlineStr">
        <is>
          <t>Highway</t>
        </is>
      </c>
      <c r="F7" s="6" t="inlineStr">
        <is>
          <t>HW-FOL, URB-FOL</t>
        </is>
      </c>
      <c r="G7" s="6">
        <f>IF(F7="",0,LEN(F7)-LEN(SUBSTITUTE(F7,",",""))+1)</f>
        <v/>
      </c>
      <c r="H7" s="6" t="inlineStr">
        <is>
          <t>A (obligatoire) : car, tractor_trailer · brake</t>
        </is>
      </c>
      <c r="I7" s="6" t="inlineStr">
        <is>
          <t>oui</t>
        </is>
      </c>
      <c r="J7" s="6" t="n">
        <v>128</v>
      </c>
      <c r="K7" s="6" t="n">
        <v>128</v>
      </c>
      <c r="L7" s="6" t="n">
        <v>0</v>
      </c>
      <c r="M7" s="6" t="inlineStr">
        <is>
          <t>#26 Lead vehicle decelerating</t>
        </is>
      </c>
      <c r="N7" s="6" t="inlineStr">
        <is>
          <t>H2</t>
        </is>
      </c>
      <c r="O7" s="6" t="inlineStr"/>
      <c r="P7" s="6" t="inlineStr">
        <is>
          <t>TORC-SYSRQ-14122, TORC-SYSRQ-14066</t>
        </is>
      </c>
      <c r="Q7" s="6" t="inlineStr">
        <is>
          <t>non</t>
        </is>
      </c>
      <c r="R7" s="6" t="inlineStr">
        <is>
          <t>SERYTI catalogue v1 (PROPOSED)</t>
        </is>
      </c>
      <c r="S7" s="6" t="inlineStr">
        <is>
          <t>PROPOSED</t>
        </is>
      </c>
      <c r="T7" s="6" t="inlineStr"/>
      <c r="U7" s="6" t="inlineStr">
        <is>
          <t>§11 Lead vehicle (couvert)</t>
        </is>
      </c>
    </row>
    <row r="8">
      <c r="A8" s="6" t="inlineStr">
        <is>
          <t>LV-04</t>
        </is>
      </c>
      <c r="B8" s="6" t="inlineStr">
        <is>
          <t>LV</t>
        </is>
      </c>
      <c r="C8" s="6" t="inlineStr">
        <is>
          <t>Leader qui freine fort</t>
        </is>
      </c>
      <c r="D8" s="6" t="inlineStr">
        <is>
          <t>Le leader freine brutalement ; le SDT doit éviter la collision avant.</t>
        </is>
      </c>
      <c r="E8" s="6" t="inlineStr">
        <is>
          <t>Highway</t>
        </is>
      </c>
      <c r="F8" s="6" t="inlineStr">
        <is>
          <t>HW-FOL, HW-ESL, HW-ELM, URB-FOL</t>
        </is>
      </c>
      <c r="G8" s="6">
        <f>IF(F8="",0,LEN(F8)-LEN(SUBSTITUTE(F8,",",""))+1)</f>
        <v/>
      </c>
      <c r="H8" s="6" t="inlineStr">
        <is>
          <t>A (obligatoire) : car, tractor_trailer · brake</t>
        </is>
      </c>
      <c r="I8" s="6" t="inlineStr">
        <is>
          <t>oui</t>
        </is>
      </c>
      <c r="J8" s="6" t="n">
        <v>192</v>
      </c>
      <c r="K8" s="6" t="n">
        <v>128</v>
      </c>
      <c r="L8" s="6" t="n">
        <v>64</v>
      </c>
      <c r="M8" s="6" t="inlineStr">
        <is>
          <t>#26 Lead vehicle decelerating</t>
        </is>
      </c>
      <c r="N8" s="6" t="inlineStr">
        <is>
          <t>H2</t>
        </is>
      </c>
      <c r="O8" s="6" t="inlineStr">
        <is>
          <t>TC-CRAWL-185</t>
        </is>
      </c>
      <c r="P8" s="6" t="inlineStr">
        <is>
          <t>TORC-SYSRQ-14066</t>
        </is>
      </c>
      <c r="Q8" s="6" t="inlineStr">
        <is>
          <t>non</t>
        </is>
      </c>
      <c r="R8" s="6" t="inlineStr">
        <is>
          <t>SERYTI catalogue v1 (PROPOSED)</t>
        </is>
      </c>
      <c r="S8" s="6" t="inlineStr">
        <is>
          <t>PROPOSED</t>
        </is>
      </c>
      <c r="T8" s="6" t="inlineStr"/>
      <c r="U8" s="6" t="inlineStr">
        <is>
          <t>§11 Lead vehicle (couvert)</t>
        </is>
      </c>
    </row>
    <row r="9">
      <c r="A9" s="6" t="inlineStr">
        <is>
          <t>LV-05</t>
        </is>
      </c>
      <c r="B9" s="6" t="inlineStr">
        <is>
          <t>LV</t>
        </is>
      </c>
      <c r="C9" s="6" t="inlineStr">
        <is>
          <t>Leader arrêté (fin de bouchon, véhicule arrêté)</t>
        </is>
      </c>
      <c r="D9" s="6" t="inlineStr">
        <is>
          <t>Un véhicule est arrêté dans la voie du SDT.</t>
        </is>
      </c>
      <c r="E9" s="6" t="inlineStr">
        <is>
          <t>Highway</t>
        </is>
      </c>
      <c r="F9" s="6" t="inlineStr">
        <is>
          <t>HW-CRU, HW-FOL, HW-ESL, HW-ELM, HW-LC, URB-FOL</t>
        </is>
      </c>
      <c r="G9" s="6">
        <f>IF(F9="",0,LEN(F9)-LEN(SUBSTITUTE(F9,",",""))+1)</f>
        <v/>
      </c>
      <c r="H9" s="6" t="inlineStr">
        <is>
          <t>A (obligatoire) : car, tractor_trailer</t>
        </is>
      </c>
      <c r="I9" s="6" t="inlineStr">
        <is>
          <t>oui</t>
        </is>
      </c>
      <c r="J9" s="6" t="n">
        <v>144</v>
      </c>
      <c r="K9" s="6" t="n">
        <v>144</v>
      </c>
      <c r="L9" s="6" t="n">
        <v>0</v>
      </c>
      <c r="M9" s="6" t="inlineStr">
        <is>
          <t>#27 Lead vehicle stopped</t>
        </is>
      </c>
      <c r="N9" s="6" t="inlineStr">
        <is>
          <t>H2</t>
        </is>
      </c>
      <c r="O9" s="6" t="inlineStr">
        <is>
          <t>TC-CRAWL-182</t>
        </is>
      </c>
      <c r="P9" s="6" t="inlineStr">
        <is>
          <t>TORC-SYSRQ-14066, TORC-SYSRQ-14123</t>
        </is>
      </c>
      <c r="Q9" s="6" t="inlineStr">
        <is>
          <t>non</t>
        </is>
      </c>
      <c r="R9" s="6" t="inlineStr">
        <is>
          <t>SERYTI catalogue v1 (PROPOSED)</t>
        </is>
      </c>
      <c r="S9" s="6" t="inlineStr">
        <is>
          <t>PROPOSED</t>
        </is>
      </c>
      <c r="T9" s="6" t="inlineStr"/>
      <c r="U9" s="6" t="inlineStr">
        <is>
          <t>§10 Stopped vehicles (couvert)</t>
        </is>
      </c>
    </row>
    <row r="10">
      <c r="A10" s="6" t="inlineStr">
        <is>
          <t>LV-06</t>
        </is>
      </c>
      <c r="B10" s="6" t="inlineStr">
        <is>
          <t>LV</t>
        </is>
      </c>
      <c r="C10" s="6" t="inlineStr">
        <is>
          <t>Leader qui accélère et s'éloigne</t>
        </is>
      </c>
      <c r="D10" s="6" t="inlineStr">
        <is>
          <t>Le leader repart ; le SDT reprend sa vitesse sans à-coup.</t>
        </is>
      </c>
      <c r="E10" s="6" t="inlineStr">
        <is>
          <t>Highway</t>
        </is>
      </c>
      <c r="F10" s="6" t="inlineStr">
        <is>
          <t>HW-FOL, URB-FOL</t>
        </is>
      </c>
      <c r="G10" s="6">
        <f>IF(F10="",0,LEN(F10)-LEN(SUBSTITUTE(F10,",",""))+1)</f>
        <v/>
      </c>
      <c r="H10" s="6" t="inlineStr">
        <is>
          <t>A (obligatoire) : car · accelerate</t>
        </is>
      </c>
      <c r="I10" s="6" t="inlineStr">
        <is>
          <t>oui</t>
        </is>
      </c>
      <c r="J10" s="6" t="n">
        <v>64</v>
      </c>
      <c r="K10" s="6" t="n">
        <v>64</v>
      </c>
      <c r="L10" s="6" t="n">
        <v>0</v>
      </c>
      <c r="M10" s="6" t="inlineStr">
        <is>
          <t>#24 Lead vehicle accelerating</t>
        </is>
      </c>
      <c r="N10" s="6" t="inlineStr">
        <is>
          <t>H2, H3</t>
        </is>
      </c>
      <c r="O10" s="6" t="inlineStr"/>
      <c r="P10" s="6" t="inlineStr">
        <is>
          <t>TORC-SYSRQ-14122</t>
        </is>
      </c>
      <c r="Q10" s="6" t="inlineStr">
        <is>
          <t>non</t>
        </is>
      </c>
      <c r="R10" s="6" t="inlineStr">
        <is>
          <t>SERYTI catalogue v1 (PROPOSED)</t>
        </is>
      </c>
      <c r="S10" s="6" t="inlineStr">
        <is>
          <t>PROPOSED</t>
        </is>
      </c>
      <c r="T10" s="6" t="inlineStr"/>
      <c r="U10" s="6" t="inlineStr">
        <is>
          <t>§11 Lead vehicle (couvert)</t>
        </is>
      </c>
    </row>
    <row r="11">
      <c r="A11" s="6" t="inlineStr">
        <is>
          <t>LV-07</t>
        </is>
      </c>
      <c r="B11" s="6" t="inlineStr">
        <is>
          <t>LV</t>
        </is>
      </c>
      <c r="C11" s="6" t="inlineStr">
        <is>
          <t>Accordéon (stop-and-go)</t>
        </is>
      </c>
      <c r="D11" s="6" t="inlineStr">
        <is>
          <t>Trafic dense qui ralentit et repart.</t>
        </is>
      </c>
      <c r="E11" s="6" t="inlineStr">
        <is>
          <t>Highway</t>
        </is>
      </c>
      <c r="F11" s="6" t="inlineStr">
        <is>
          <t>HW-FOL, URB-FOL</t>
        </is>
      </c>
      <c r="G11" s="6">
        <f>IF(F11="",0,LEN(F11)-LEN(SUBSTITUTE(F11,",",""))+1)</f>
        <v/>
      </c>
      <c r="H11" s="6" t="inlineStr">
        <is>
          <t>A (obligatoire) : car, tractor_trailer · brake
C (optionnel) : car</t>
        </is>
      </c>
      <c r="I11" s="6" t="inlineStr">
        <is>
          <t>oui</t>
        </is>
      </c>
      <c r="J11" s="6" t="n">
        <v>1024</v>
      </c>
      <c r="K11" s="6" t="n">
        <v>1024</v>
      </c>
      <c r="L11" s="6" t="n">
        <v>0</v>
      </c>
      <c r="M11" s="6" t="inlineStr">
        <is>
          <t>#26 Lead vehicle decelerating</t>
        </is>
      </c>
      <c r="N11" s="6" t="inlineStr">
        <is>
          <t>H2, H3</t>
        </is>
      </c>
      <c r="O11" s="6" t="inlineStr">
        <is>
          <t>TC-CRAWL-173</t>
        </is>
      </c>
      <c r="P11" s="6" t="inlineStr"/>
      <c r="Q11" s="6" t="inlineStr">
        <is>
          <t>non</t>
        </is>
      </c>
      <c r="R11" s="6" t="inlineStr">
        <is>
          <t>SERYTI catalogue v1 (PROPOSED)</t>
        </is>
      </c>
      <c r="S11" s="6" t="inlineStr">
        <is>
          <t>PROPOSED</t>
        </is>
      </c>
      <c r="T11" s="6" t="inlineStr"/>
      <c r="U11" s="6" t="inlineStr">
        <is>
          <t>§10 Stopped vehicles (partiel), §11 Lead vehicle (couvert)</t>
        </is>
      </c>
    </row>
    <row r="12">
      <c r="A12" s="6" t="inlineStr">
        <is>
          <t>LV-08</t>
        </is>
      </c>
      <c r="B12" s="6" t="inlineStr">
        <is>
          <t>LV</t>
        </is>
      </c>
      <c r="C12" s="6" t="inlineStr">
        <is>
          <t>Leader au comportement erratique</t>
        </is>
      </c>
      <c r="D12" s="6" t="inlineStr">
        <is>
          <t>Le leader freine et accélère de façon imprévisible.</t>
        </is>
      </c>
      <c r="E12" s="6" t="inlineStr">
        <is>
          <t>Highway</t>
        </is>
      </c>
      <c r="F12" s="6" t="inlineStr">
        <is>
          <t>HW-FOL</t>
        </is>
      </c>
      <c r="G12" s="6">
        <f>IF(F12="",0,LEN(F12)-LEN(SUBSTITUTE(F12,",",""))+1)</f>
        <v/>
      </c>
      <c r="H12" s="6" t="inlineStr">
        <is>
          <t>A (obligatoire) : car, pickup · brake</t>
        </is>
      </c>
      <c r="I12" s="6" t="inlineStr">
        <is>
          <t>oui</t>
        </is>
      </c>
      <c r="J12" s="6" t="n">
        <v>128</v>
      </c>
      <c r="K12" s="6" t="n">
        <v>128</v>
      </c>
      <c r="L12" s="6" t="n">
        <v>0</v>
      </c>
      <c r="M12" s="6" t="inlineStr">
        <is>
          <t>#26 Lead vehicle decelerating</t>
        </is>
      </c>
      <c r="N12" s="6" t="inlineStr">
        <is>
          <t>H2</t>
        </is>
      </c>
      <c r="O12" s="6" t="inlineStr">
        <is>
          <t>TC-CRAWL-181, TC-CRAWL-175</t>
        </is>
      </c>
      <c r="P12" s="6" t="inlineStr"/>
      <c r="Q12" s="6" t="inlineStr">
        <is>
          <t>non</t>
        </is>
      </c>
      <c r="R12" s="6" t="inlineStr">
        <is>
          <t>SERYTI catalogue v1 (PROPOSED)</t>
        </is>
      </c>
      <c r="S12" s="6" t="inlineStr">
        <is>
          <t>PROPOSED</t>
        </is>
      </c>
      <c r="T12" s="6" t="inlineStr"/>
      <c r="U12" s="6" t="inlineStr">
        <is>
          <t>§11 Lead vehicle (couvert)</t>
        </is>
      </c>
    </row>
    <row r="13">
      <c r="A13" s="6" t="inlineStr">
        <is>
          <t>LV-09</t>
        </is>
      </c>
      <c r="B13" s="6" t="inlineStr">
        <is>
          <t>LV</t>
        </is>
      </c>
      <c r="C13" s="6" t="inlineStr">
        <is>
          <t>Moto en leader</t>
        </is>
      </c>
      <c r="D13" s="6" t="inlineStr">
        <is>
          <t>Petit véhicule devant, difficile à suivre et à détecter.</t>
        </is>
      </c>
      <c r="E13" s="6" t="inlineStr">
        <is>
          <t>Highway</t>
        </is>
      </c>
      <c r="F13" s="6" t="inlineStr">
        <is>
          <t>HW-CRU, HW-FOL</t>
        </is>
      </c>
      <c r="G13" s="6">
        <f>IF(F13="",0,LEN(F13)-LEN(SUBSTITUTE(F13,",",""))+1)</f>
        <v/>
      </c>
      <c r="H13" s="6" t="inlineStr">
        <is>
          <t>A (obligatoire) : motorcycle</t>
        </is>
      </c>
      <c r="I13" s="6" t="inlineStr">
        <is>
          <t>oui</t>
        </is>
      </c>
      <c r="J13" s="6" t="n">
        <v>32</v>
      </c>
      <c r="K13" s="6" t="n">
        <v>32</v>
      </c>
      <c r="L13" s="6" t="n">
        <v>0</v>
      </c>
      <c r="M13" s="6" t="inlineStr">
        <is>
          <t>#25 Lead vehicle moving at lower constant speed</t>
        </is>
      </c>
      <c r="N13" s="6" t="inlineStr">
        <is>
          <t>H2</t>
        </is>
      </c>
      <c r="O13" s="6" t="inlineStr">
        <is>
          <t>TC-CRAWL-200</t>
        </is>
      </c>
      <c r="P13" s="6" t="inlineStr"/>
      <c r="Q13" s="6" t="inlineStr">
        <is>
          <t>oui</t>
        </is>
      </c>
      <c r="R13" s="6" t="inlineStr">
        <is>
          <t>SERYTI catalogue v1 (PROPOSED)</t>
        </is>
      </c>
      <c r="S13" s="6" t="inlineStr">
        <is>
          <t>PROPOSED</t>
        </is>
      </c>
      <c r="T13" s="6" t="inlineStr"/>
      <c r="U13" s="6" t="inlineStr"/>
    </row>
    <row r="14">
      <c r="A14" s="6" t="inlineStr">
        <is>
          <t>LV-10</t>
        </is>
      </c>
      <c r="B14" s="6" t="inlineStr">
        <is>
          <t>LV</t>
        </is>
      </c>
      <c r="C14" s="6" t="inlineStr">
        <is>
          <t>Leader camion qui masque la vue</t>
        </is>
      </c>
      <c r="D14" s="6" t="inlineStr">
        <is>
          <t>Un semi devant cache un véhicule arrêté plus loin.</t>
        </is>
      </c>
      <c r="E14" s="6" t="inlineStr">
        <is>
          <t>Highway</t>
        </is>
      </c>
      <c r="F14" s="6" t="inlineStr">
        <is>
          <t>HW-FOL, HW-ESL</t>
        </is>
      </c>
      <c r="G14" s="6">
        <f>IF(F14="",0,LEN(F14)-LEN(SUBSTITUTE(F14,",",""))+1)</f>
        <v/>
      </c>
      <c r="H14" s="6" t="inlineStr">
        <is>
          <t>A (obligatoire) : tractor_trailer
O (optionnel) : stopped_vehicle</t>
        </is>
      </c>
      <c r="I14" s="6" t="inlineStr">
        <is>
          <t>oui</t>
        </is>
      </c>
      <c r="J14" s="6" t="n">
        <v>32</v>
      </c>
      <c r="K14" s="6" t="n">
        <v>32</v>
      </c>
      <c r="L14" s="6" t="n">
        <v>0</v>
      </c>
      <c r="M14" s="6" t="inlineStr">
        <is>
          <t>#27 Lead vehicle stopped</t>
        </is>
      </c>
      <c r="N14" s="6" t="inlineStr">
        <is>
          <t>H2</t>
        </is>
      </c>
      <c r="O14" s="6" t="inlineStr">
        <is>
          <t>TC-CRAWL-186</t>
        </is>
      </c>
      <c r="P14" s="6" t="inlineStr"/>
      <c r="Q14" s="6" t="inlineStr">
        <is>
          <t>oui</t>
        </is>
      </c>
      <c r="R14" s="6" t="inlineStr">
        <is>
          <t>SERYTI catalogue v1 (PROPOSED)</t>
        </is>
      </c>
      <c r="S14" s="6" t="inlineStr">
        <is>
          <t>PROPOSED</t>
        </is>
      </c>
      <c r="T14" s="6" t="inlineStr"/>
      <c r="U14" s="6" t="inlineStr"/>
    </row>
    <row r="15">
      <c r="A15" s="6" t="inlineStr">
        <is>
          <t>LV-11</t>
        </is>
      </c>
      <c r="B15" s="6" t="inlineStr">
        <is>
          <t>LV</t>
        </is>
      </c>
      <c r="C15" s="6" t="inlineStr">
        <is>
          <t>Le leader change de voie et libère la voie (cut-out)</t>
        </is>
      </c>
      <c r="D15" s="6" t="inlineStr">
        <is>
          <t>Le véhicule suivi quitte la voie du SDT sans obstacle derrière : le SDT doit reprendre sa vitesse sans à-coup (Foretellix « cut out »).</t>
        </is>
      </c>
      <c r="E15" s="6" t="inlineStr">
        <is>
          <t>Highway</t>
        </is>
      </c>
      <c r="F15" s="6" t="inlineStr">
        <is>
          <t>HW-CRU, HW-FOL</t>
        </is>
      </c>
      <c r="G15" s="6">
        <f>IF(F15="",0,LEN(F15)-LEN(SUBSTITUTE(F15,",",""))+1)</f>
        <v/>
      </c>
      <c r="H15" s="6" t="inlineStr">
        <is>
          <t>A (obligatoire) : car, pickup, tractor_trailer · cut_out</t>
        </is>
      </c>
      <c r="I15" s="6" t="inlineStr">
        <is>
          <t>oui</t>
        </is>
      </c>
      <c r="J15" s="6" t="n">
        <v>432</v>
      </c>
      <c r="K15" s="6" t="n">
        <v>432</v>
      </c>
      <c r="L15" s="6" t="n">
        <v>0</v>
      </c>
      <c r="M15" s="6" t="inlineStr"/>
      <c r="N15" s="6" t="inlineStr">
        <is>
          <t>H2</t>
        </is>
      </c>
      <c r="O15" s="6" t="inlineStr"/>
      <c r="P15" s="6" t="inlineStr">
        <is>
          <t>TORC-SYSRQ-14122, TORC-SYSRQ-10167</t>
        </is>
      </c>
      <c r="Q15" s="6" t="inlineStr">
        <is>
          <t>non</t>
        </is>
      </c>
      <c r="R15" s="6" t="inlineStr">
        <is>
          <t>SERYTI catalogue v1 (PROPOSED)</t>
        </is>
      </c>
      <c r="S15" s="6" t="inlineStr">
        <is>
          <t>PROPOSED</t>
        </is>
      </c>
      <c r="T15" s="6" t="inlineStr"/>
      <c r="U15" s="6" t="inlineStr">
        <is>
          <t>§5 Cut out (couvert)</t>
        </is>
      </c>
    </row>
    <row r="16">
      <c r="A16" s="6" t="inlineStr">
        <is>
          <t>CI-01</t>
        </is>
      </c>
      <c r="B16" s="6" t="inlineStr">
        <is>
          <t>CI</t>
        </is>
      </c>
      <c r="C16" s="6" t="inlineStr">
        <is>
          <t>Cut-in depuis la gauche, gap suffisant</t>
        </is>
      </c>
      <c r="D16" s="6" t="inlineStr">
        <is>
          <t>Un véhicule de la voie de gauche se rabat devant le SDT avec un écart correct.</t>
        </is>
      </c>
      <c r="E16" s="6" t="inlineStr">
        <is>
          <t>Highway</t>
        </is>
      </c>
      <c r="F16" s="6" t="inlineStr">
        <is>
          <t>HW-CRU, HW-FOL, URB-FOL</t>
        </is>
      </c>
      <c r="G16" s="6">
        <f>IF(F16="",0,LEN(F16)-LEN(SUBSTITUTE(F16,",",""))+1)</f>
        <v/>
      </c>
      <c r="H16" s="6" t="inlineStr">
        <is>
          <t>B (obligatoire) : car, pickup · cut_in</t>
        </is>
      </c>
      <c r="I16" s="6" t="inlineStr">
        <is>
          <t>oui</t>
        </is>
      </c>
      <c r="J16" s="6" t="n">
        <v>288</v>
      </c>
      <c r="K16" s="6" t="n">
        <v>288</v>
      </c>
      <c r="L16" s="6" t="n">
        <v>0</v>
      </c>
      <c r="M16" s="6" t="inlineStr">
        <is>
          <t>#19 Vehicle(s) changing lanes, same direction</t>
        </is>
      </c>
      <c r="N16" s="6" t="inlineStr">
        <is>
          <t>H2</t>
        </is>
      </c>
      <c r="O16" s="6" t="inlineStr">
        <is>
          <t>TC-CRAWL-171</t>
        </is>
      </c>
      <c r="P16" s="6" t="inlineStr">
        <is>
          <t>TORC-SYSRQ-14066, TORC-SYSRQ-14122</t>
        </is>
      </c>
      <c r="Q16" s="6" t="inlineStr">
        <is>
          <t>non</t>
        </is>
      </c>
      <c r="R16" s="6" t="inlineStr">
        <is>
          <t>SERYTI catalogue v1 (PROPOSED)</t>
        </is>
      </c>
      <c r="S16" s="6" t="inlineStr">
        <is>
          <t>PROPOSED</t>
        </is>
      </c>
      <c r="T16" s="6" t="inlineStr"/>
      <c r="U16" s="6" t="inlineStr">
        <is>
          <t>§2 Cut in (couvert)</t>
        </is>
      </c>
    </row>
    <row r="17">
      <c r="A17" s="6" t="inlineStr">
        <is>
          <t>CI-02</t>
        </is>
      </c>
      <c r="B17" s="6" t="inlineStr">
        <is>
          <t>CI</t>
        </is>
      </c>
      <c r="C17" s="6" t="inlineStr">
        <is>
          <t>Cut-in serré depuis la gauche</t>
        </is>
      </c>
      <c r="D17" s="6" t="inlineStr">
        <is>
          <t>Le véhicule se rabat très près devant le SDT.</t>
        </is>
      </c>
      <c r="E17" s="6" t="inlineStr">
        <is>
          <t>Highway</t>
        </is>
      </c>
      <c r="F17" s="6" t="inlineStr">
        <is>
          <t>HW-CRU, HW-FOL, HW-ESL</t>
        </is>
      </c>
      <c r="G17" s="6">
        <f>IF(F17="",0,LEN(F17)-LEN(SUBSTITUTE(F17,",",""))+1)</f>
        <v/>
      </c>
      <c r="H17" s="6" t="inlineStr">
        <is>
          <t>B (obligatoire) : car, pickup · cut_in</t>
        </is>
      </c>
      <c r="I17" s="6" t="inlineStr">
        <is>
          <t>oui</t>
        </is>
      </c>
      <c r="J17" s="6" t="n">
        <v>192</v>
      </c>
      <c r="K17" s="6" t="n">
        <v>192</v>
      </c>
      <c r="L17" s="6" t="n">
        <v>0</v>
      </c>
      <c r="M17" s="6" t="inlineStr">
        <is>
          <t>#19 Vehicle(s) changing lanes, same direction</t>
        </is>
      </c>
      <c r="N17" s="6" t="inlineStr">
        <is>
          <t>H2</t>
        </is>
      </c>
      <c r="O17" s="6" t="inlineStr">
        <is>
          <t>TC-CRAWL-175</t>
        </is>
      </c>
      <c r="P17" s="6" t="inlineStr">
        <is>
          <t>TORC-SYSRQ-14066</t>
        </is>
      </c>
      <c r="Q17" s="6" t="inlineStr">
        <is>
          <t>non</t>
        </is>
      </c>
      <c r="R17" s="6" t="inlineStr">
        <is>
          <t>SERYTI catalogue v1 (PROPOSED)</t>
        </is>
      </c>
      <c r="S17" s="6" t="inlineStr">
        <is>
          <t>PROPOSED</t>
        </is>
      </c>
      <c r="T17" s="6" t="inlineStr"/>
      <c r="U17" s="6" t="inlineStr">
        <is>
          <t>§2 Cut in (couvert)</t>
        </is>
      </c>
    </row>
    <row r="18">
      <c r="A18" s="6" t="inlineStr">
        <is>
          <t>CI-03</t>
        </is>
      </c>
      <c r="B18" s="6" t="inlineStr">
        <is>
          <t>CI</t>
        </is>
      </c>
      <c r="C18" s="6" t="inlineStr">
        <is>
          <t>Cut-in depuis la droite</t>
        </is>
      </c>
      <c r="D18" s="6" t="inlineStr">
        <is>
          <t>Un véhicule de la voie de droite se rabat devant le SDT (SDT en voie du milieu ou de gauche).</t>
        </is>
      </c>
      <c r="E18" s="6" t="inlineStr">
        <is>
          <t>Highway</t>
        </is>
      </c>
      <c r="F18" s="6" t="inlineStr">
        <is>
          <t>HW-CRU, HW-FOL</t>
        </is>
      </c>
      <c r="G18" s="6">
        <f>IF(F18="",0,LEN(F18)-LEN(SUBSTITUTE(F18,",",""))+1)</f>
        <v/>
      </c>
      <c r="H18" s="6" t="inlineStr">
        <is>
          <t>G (obligatoire) : car, pickup · cut_in</t>
        </is>
      </c>
      <c r="I18" s="6" t="inlineStr">
        <is>
          <t>oui</t>
        </is>
      </c>
      <c r="J18" s="6" t="n">
        <v>128</v>
      </c>
      <c r="K18" s="6" t="n">
        <v>128</v>
      </c>
      <c r="L18" s="6" t="n">
        <v>0</v>
      </c>
      <c r="M18" s="6" t="inlineStr">
        <is>
          <t>#19 Vehicle(s) changing lanes, same direction</t>
        </is>
      </c>
      <c r="N18" s="6" t="inlineStr">
        <is>
          <t>H2</t>
        </is>
      </c>
      <c r="O18" s="6" t="inlineStr"/>
      <c r="P18" s="6" t="inlineStr">
        <is>
          <t>TORC-SYSRQ-14066</t>
        </is>
      </c>
      <c r="Q18" s="6" t="inlineStr">
        <is>
          <t>non</t>
        </is>
      </c>
      <c r="R18" s="6" t="inlineStr">
        <is>
          <t>SERYTI catalogue v1 (PROPOSED)</t>
        </is>
      </c>
      <c r="S18" s="6" t="inlineStr">
        <is>
          <t>PROPOSED</t>
        </is>
      </c>
      <c r="T18" s="6" t="inlineStr"/>
      <c r="U18" s="6" t="inlineStr">
        <is>
          <t>§2 Cut in (couvert)</t>
        </is>
      </c>
    </row>
    <row r="19">
      <c r="A19" s="6" t="inlineStr">
        <is>
          <t>CI-04</t>
        </is>
      </c>
      <c r="B19" s="6" t="inlineStr">
        <is>
          <t>CI</t>
        </is>
      </c>
      <c r="C19" s="6" t="inlineStr">
        <is>
          <t>Cut-in d'un véhicule plus lent</t>
        </is>
      </c>
      <c r="D19" s="6" t="inlineStr">
        <is>
          <t>Le véhicule qui se rabat roule moins vite que le SDT.</t>
        </is>
      </c>
      <c r="E19" s="6" t="inlineStr">
        <is>
          <t>Highway</t>
        </is>
      </c>
      <c r="F19" s="6" t="inlineStr">
        <is>
          <t>HW-CRU, HW-FOL</t>
        </is>
      </c>
      <c r="G19" s="6">
        <f>IF(F19="",0,LEN(F19)-LEN(SUBSTITUTE(F19,",",""))+1)</f>
        <v/>
      </c>
      <c r="H19" s="6" t="inlineStr">
        <is>
          <t>B (obligatoire) : car, pickup · cut_in</t>
        </is>
      </c>
      <c r="I19" s="6" t="inlineStr">
        <is>
          <t>oui</t>
        </is>
      </c>
      <c r="J19" s="6" t="n">
        <v>64</v>
      </c>
      <c r="K19" s="6" t="n">
        <v>64</v>
      </c>
      <c r="L19" s="6" t="n">
        <v>0</v>
      </c>
      <c r="M19" s="6" t="inlineStr">
        <is>
          <t>#19 Vehicle(s) changing lanes, same direction, #25 Lead vehicle moving at lower constant speed</t>
        </is>
      </c>
      <c r="N19" s="6" t="inlineStr">
        <is>
          <t>H2</t>
        </is>
      </c>
      <c r="O19" s="6" t="inlineStr"/>
      <c r="P19" s="6" t="inlineStr"/>
      <c r="Q19" s="6" t="inlineStr">
        <is>
          <t>non</t>
        </is>
      </c>
      <c r="R19" s="6" t="inlineStr">
        <is>
          <t>SERYTI catalogue v1 (PROPOSED)</t>
        </is>
      </c>
      <c r="S19" s="6" t="inlineStr">
        <is>
          <t>PROPOSED</t>
        </is>
      </c>
      <c r="T19" s="6" t="inlineStr"/>
      <c r="U19" s="6" t="inlineStr">
        <is>
          <t>§2 Cut in (couvert)</t>
        </is>
      </c>
    </row>
    <row r="20">
      <c r="A20" s="6" t="inlineStr">
        <is>
          <t>CI-05</t>
        </is>
      </c>
      <c r="B20" s="6" t="inlineStr">
        <is>
          <t>CI</t>
        </is>
      </c>
      <c r="C20" s="6" t="inlineStr">
        <is>
          <t>Cut-in d'un semi-remorque</t>
        </is>
      </c>
      <c r="D20" s="6" t="inlineStr">
        <is>
          <t>Un ensemble long se rabat devant le SDT.</t>
        </is>
      </c>
      <c r="E20" s="6" t="inlineStr">
        <is>
          <t>Highway</t>
        </is>
      </c>
      <c r="F20" s="6" t="inlineStr">
        <is>
          <t>HW-CRU, HW-FOL</t>
        </is>
      </c>
      <c r="G20" s="6">
        <f>IF(F20="",0,LEN(F20)-LEN(SUBSTITUTE(F20,",",""))+1)</f>
        <v/>
      </c>
      <c r="H20" s="6" t="inlineStr">
        <is>
          <t>B (obligatoire) : tractor_trailer · cut_in</t>
        </is>
      </c>
      <c r="I20" s="6" t="inlineStr">
        <is>
          <t>oui</t>
        </is>
      </c>
      <c r="J20" s="6" t="n">
        <v>64</v>
      </c>
      <c r="K20" s="6" t="n">
        <v>64</v>
      </c>
      <c r="L20" s="6" t="n">
        <v>0</v>
      </c>
      <c r="M20" s="6" t="inlineStr">
        <is>
          <t>#19 Vehicle(s) changing lanes, same direction</t>
        </is>
      </c>
      <c r="N20" s="6" t="inlineStr">
        <is>
          <t>H2</t>
        </is>
      </c>
      <c r="O20" s="6" t="inlineStr">
        <is>
          <t>TC-CRAWL-187</t>
        </is>
      </c>
      <c r="P20" s="6" t="inlineStr"/>
      <c r="Q20" s="6" t="inlineStr">
        <is>
          <t>non</t>
        </is>
      </c>
      <c r="R20" s="6" t="inlineStr">
        <is>
          <t>SERYTI catalogue v1 (PROPOSED)</t>
        </is>
      </c>
      <c r="S20" s="6" t="inlineStr">
        <is>
          <t>PROPOSED</t>
        </is>
      </c>
      <c r="T20" s="6" t="inlineStr"/>
      <c r="U20" s="6" t="inlineStr">
        <is>
          <t>§2 Cut in (couvert)</t>
        </is>
      </c>
    </row>
    <row r="21">
      <c r="A21" s="6" t="inlineStr">
        <is>
          <t>CI-06</t>
        </is>
      </c>
      <c r="B21" s="6" t="inlineStr">
        <is>
          <t>CI</t>
        </is>
      </c>
      <c r="C21" s="6" t="inlineStr">
        <is>
          <t>Insertion depuis la bretelle devant le SDT</t>
        </is>
      </c>
      <c r="D21" s="6" t="inlineStr">
        <is>
          <t>Un véhicule de la voie d'accélération s'insère dans la voie de droite où roule le SDT.</t>
        </is>
      </c>
      <c r="E21" s="6" t="inlineStr">
        <is>
          <t>Highway</t>
        </is>
      </c>
      <c r="F21" s="6" t="inlineStr">
        <is>
          <t>HW-CRU, HW-FOL</t>
        </is>
      </c>
      <c r="G21" s="6">
        <f>IF(F21="",0,LEN(F21)-LEN(SUBSTITUTE(F21,",",""))+1)</f>
        <v/>
      </c>
      <c r="H21" s="6" t="inlineStr">
        <is>
          <t>G (obligatoire) : car, pickup, tractor_trailer · cut_in</t>
        </is>
      </c>
      <c r="I21" s="6" t="inlineStr">
        <is>
          <t>oui</t>
        </is>
      </c>
      <c r="J21" s="6" t="n">
        <v>288</v>
      </c>
      <c r="K21" s="6" t="n">
        <v>288</v>
      </c>
      <c r="L21" s="6" t="n">
        <v>0</v>
      </c>
      <c r="M21" s="6" t="inlineStr">
        <is>
          <t>#19 Vehicle(s) changing lanes, same direction</t>
        </is>
      </c>
      <c r="N21" s="6" t="inlineStr">
        <is>
          <t>H1, H2</t>
        </is>
      </c>
      <c r="O21" s="6" t="inlineStr">
        <is>
          <t>TC-CRAWL-052, TC-CRAWL-265</t>
        </is>
      </c>
      <c r="P21" s="6" t="inlineStr"/>
      <c r="Q21" s="6" t="inlineStr">
        <is>
          <t>non</t>
        </is>
      </c>
      <c r="R21" s="6" t="inlineStr">
        <is>
          <t>SERYTI catalogue v1 (PROPOSED)</t>
        </is>
      </c>
      <c r="S21" s="6" t="inlineStr">
        <is>
          <t>PROPOSED</t>
        </is>
      </c>
      <c r="T21" s="6" t="inlineStr"/>
      <c r="U21" s="6" t="inlineStr">
        <is>
          <t>§4.1.3 Cars merge at highway entry (partiel)</t>
        </is>
      </c>
    </row>
    <row r="22">
      <c r="A22" s="6" t="inlineStr">
        <is>
          <t>CI-07</t>
        </is>
      </c>
      <c r="B22" s="6" t="inlineStr">
        <is>
          <t>CI</t>
        </is>
      </c>
      <c r="C22" s="6" t="inlineStr">
        <is>
          <t>Brake-check après un rabattement</t>
        </is>
      </c>
      <c r="D22" s="6" t="inlineStr">
        <is>
          <t>Un véhicule qui vient de se rabattre freine brutalement devant le SDT.</t>
        </is>
      </c>
      <c r="E22" s="6" t="inlineStr">
        <is>
          <t>Highway</t>
        </is>
      </c>
      <c r="F22" s="6" t="inlineStr">
        <is>
          <t>HW-FOL, HW-ESL</t>
        </is>
      </c>
      <c r="G22" s="6">
        <f>IF(F22="",0,LEN(F22)-LEN(SUBSTITUTE(F22,",",""))+1)</f>
        <v/>
      </c>
      <c r="H22" s="6" t="inlineStr">
        <is>
          <t>A (obligatoire) : car · brake</t>
        </is>
      </c>
      <c r="I22" s="6" t="inlineStr">
        <is>
          <t>oui</t>
        </is>
      </c>
      <c r="J22" s="6" t="n">
        <v>32</v>
      </c>
      <c r="K22" s="6" t="n">
        <v>32</v>
      </c>
      <c r="L22" s="6" t="n">
        <v>0</v>
      </c>
      <c r="M22" s="6" t="inlineStr">
        <is>
          <t>#26 Lead vehicle decelerating</t>
        </is>
      </c>
      <c r="N22" s="6" t="inlineStr">
        <is>
          <t>H2</t>
        </is>
      </c>
      <c r="O22" s="6" t="inlineStr">
        <is>
          <t>TC-CRAWL-175</t>
        </is>
      </c>
      <c r="P22" s="6" t="inlineStr"/>
      <c r="Q22" s="6" t="inlineStr">
        <is>
          <t>non</t>
        </is>
      </c>
      <c r="R22" s="6" t="inlineStr">
        <is>
          <t>SERYTI catalogue v1 (PROPOSED)</t>
        </is>
      </c>
      <c r="S22" s="6" t="inlineStr">
        <is>
          <t>PROPOSED</t>
        </is>
      </c>
      <c r="T22" s="6" t="inlineStr"/>
      <c r="U22" s="6" t="inlineStr"/>
    </row>
    <row r="23">
      <c r="A23" s="6" t="inlineStr">
        <is>
          <t>CI-08</t>
        </is>
      </c>
      <c r="B23" s="6" t="inlineStr">
        <is>
          <t>CI</t>
        </is>
      </c>
      <c r="C23" s="6" t="inlineStr">
        <is>
          <t>Deux véhicules se rabattent l'un après l'autre</t>
        </is>
      </c>
      <c r="D23" s="6" t="inlineStr">
        <is>
          <t>Deux véhicules de la voie de gauche se rabattent successivement devant le SDT (variante convoi du cut-in Foretellix).</t>
        </is>
      </c>
      <c r="E23" s="6" t="inlineStr">
        <is>
          <t>Highway</t>
        </is>
      </c>
      <c r="F23" s="6" t="inlineStr">
        <is>
          <t>HW-CRU, HW-FOL</t>
        </is>
      </c>
      <c r="G23" s="6">
        <f>IF(F23="",0,LEN(F23)-LEN(SUBSTITUTE(F23,",",""))+1)</f>
        <v/>
      </c>
      <c r="H23" s="6" t="inlineStr">
        <is>
          <t>B (obligatoire) : car, pickup · cut_in</t>
        </is>
      </c>
      <c r="I23" s="6" t="inlineStr">
        <is>
          <t>oui</t>
        </is>
      </c>
      <c r="J23" s="6" t="n">
        <v>256</v>
      </c>
      <c r="K23" s="6" t="n">
        <v>256</v>
      </c>
      <c r="L23" s="6" t="n">
        <v>0</v>
      </c>
      <c r="M23" s="6" t="inlineStr">
        <is>
          <t>#19 Vehicle(s) changing lanes, same direction</t>
        </is>
      </c>
      <c r="N23" s="6" t="inlineStr">
        <is>
          <t>H2</t>
        </is>
      </c>
      <c r="O23" s="6" t="inlineStr"/>
      <c r="P23" s="6" t="inlineStr">
        <is>
          <t>TORC-SYSRQ-14066, TORC-SYSRQ-14122</t>
        </is>
      </c>
      <c r="Q23" s="6" t="inlineStr">
        <is>
          <t>non</t>
        </is>
      </c>
      <c r="R23" s="6" t="inlineStr">
        <is>
          <t>SERYTI catalogue v1 (PROPOSED)</t>
        </is>
      </c>
      <c r="S23" s="6" t="inlineStr">
        <is>
          <t>PROPOSED</t>
        </is>
      </c>
      <c r="T23" s="6" t="inlineStr"/>
      <c r="U23" s="6" t="inlineStr">
        <is>
          <t>§2 Cut in (couvert), §5 Cut out (partiel)</t>
        </is>
      </c>
    </row>
    <row r="24">
      <c r="A24" s="6" t="inlineStr">
        <is>
          <t>ADJ-01</t>
        </is>
      </c>
      <c r="B24" s="6" t="inlineStr">
        <is>
          <t>ADJ</t>
        </is>
      </c>
      <c r="C24" s="6" t="inlineStr">
        <is>
          <t>Véhicule adjacent qui dérive vers le SDT</t>
        </is>
      </c>
      <c r="D24" s="6" t="inlineStr">
        <is>
          <t>Un véhicule le long du SDT sort de sa voie vers lui.</t>
        </is>
      </c>
      <c r="E24" s="6" t="inlineStr">
        <is>
          <t>Highway</t>
        </is>
      </c>
      <c r="F24" s="6" t="inlineStr">
        <is>
          <t>HW-CRU, HW-FOL, HW-ELM</t>
        </is>
      </c>
      <c r="G24" s="6">
        <f>IF(F24="",0,LEN(F24)-LEN(SUBSTITUTE(F24,",",""))+1)</f>
        <v/>
      </c>
      <c r="H24" s="6" t="inlineStr">
        <is>
          <t>D (obligatoire) : car, pickup · drift</t>
        </is>
      </c>
      <c r="I24" s="6" t="inlineStr">
        <is>
          <t>oui</t>
        </is>
      </c>
      <c r="J24" s="6" t="n">
        <v>288</v>
      </c>
      <c r="K24" s="6" t="n">
        <v>288</v>
      </c>
      <c r="L24" s="6" t="n">
        <v>0</v>
      </c>
      <c r="M24" s="6" t="inlineStr">
        <is>
          <t>#20 Vehicle(s) drifting, same direction</t>
        </is>
      </c>
      <c r="N24" s="6" t="inlineStr">
        <is>
          <t>H1</t>
        </is>
      </c>
      <c r="O24" s="6" t="inlineStr">
        <is>
          <t>TC-CRAWL-171</t>
        </is>
      </c>
      <c r="P24" s="6" t="inlineStr">
        <is>
          <t>TORC-SYSRQ-14128, TORC-SYSRQ-10180, TORC-SYSRQ-14065</t>
        </is>
      </c>
      <c r="Q24" s="6" t="inlineStr">
        <is>
          <t>non</t>
        </is>
      </c>
      <c r="R24" s="6" t="inlineStr">
        <is>
          <t>SERYTI catalogue v1 (PROPOSED)</t>
        </is>
      </c>
      <c r="S24" s="6" t="inlineStr">
        <is>
          <t>PROPOSED</t>
        </is>
      </c>
      <c r="T24" s="6" t="inlineStr"/>
      <c r="U24" s="6" t="inlineStr">
        <is>
          <t>§8 Lane hugger (partiel)</t>
        </is>
      </c>
    </row>
    <row r="25">
      <c r="A25" s="6" t="inlineStr">
        <is>
          <t>ADJ-02</t>
        </is>
      </c>
      <c r="B25" s="6" t="inlineStr">
        <is>
          <t>ADJ</t>
        </is>
      </c>
      <c r="C25" s="6" t="inlineStr">
        <is>
          <t>Semi adjacent dont la remorque louvoie</t>
        </is>
      </c>
      <c r="D25" s="6" t="inlineStr">
        <is>
          <t>La remorque d'un camion voisin oscille vers la voie du SDT.</t>
        </is>
      </c>
      <c r="E25" s="6" t="inlineStr">
        <is>
          <t>Highway</t>
        </is>
      </c>
      <c r="F25" s="6" t="inlineStr">
        <is>
          <t>HW-CRU, HW-FOL</t>
        </is>
      </c>
      <c r="G25" s="6">
        <f>IF(F25="",0,LEN(F25)-LEN(SUBSTITUTE(F25,",",""))+1)</f>
        <v/>
      </c>
      <c r="H25" s="6" t="inlineStr">
        <is>
          <t>D (obligatoire) : tractor_trailer · drift</t>
        </is>
      </c>
      <c r="I25" s="6" t="inlineStr">
        <is>
          <t>oui</t>
        </is>
      </c>
      <c r="J25" s="6" t="n">
        <v>48</v>
      </c>
      <c r="K25" s="6" t="n">
        <v>48</v>
      </c>
      <c r="L25" s="6" t="n">
        <v>0</v>
      </c>
      <c r="M25" s="6" t="inlineStr">
        <is>
          <t>#20 Vehicle(s) drifting, same direction</t>
        </is>
      </c>
      <c r="N25" s="6" t="inlineStr">
        <is>
          <t>H1</t>
        </is>
      </c>
      <c r="O25" s="6" t="inlineStr">
        <is>
          <t>TC-CRAWL-192</t>
        </is>
      </c>
      <c r="P25" s="6" t="inlineStr">
        <is>
          <t>TORC-SYSRQ-14128</t>
        </is>
      </c>
      <c r="Q25" s="6" t="inlineStr">
        <is>
          <t>non</t>
        </is>
      </c>
      <c r="R25" s="6" t="inlineStr">
        <is>
          <t>SERYTI catalogue v1 (PROPOSED)</t>
        </is>
      </c>
      <c r="S25" s="6" t="inlineStr">
        <is>
          <t>PROPOSED</t>
        </is>
      </c>
      <c r="T25" s="6" t="inlineStr"/>
      <c r="U25" s="6" t="inlineStr"/>
    </row>
    <row r="26">
      <c r="A26" s="6" t="inlineStr">
        <is>
          <t>ADJ-03</t>
        </is>
      </c>
      <c r="B26" s="6" t="inlineStr">
        <is>
          <t>ADJ</t>
        </is>
      </c>
      <c r="C26" s="6" t="inlineStr">
        <is>
          <t>Moto qui remonte les files</t>
        </is>
      </c>
      <c r="D26" s="6" t="inlineStr">
        <is>
          <t>Une moto rapide passe entre les voies le long du SDT.</t>
        </is>
      </c>
      <c r="E26" s="6" t="inlineStr">
        <is>
          <t>Highway</t>
        </is>
      </c>
      <c r="F26" s="6" t="inlineStr">
        <is>
          <t>HW-CRU, HW-FOL</t>
        </is>
      </c>
      <c r="G26" s="6">
        <f>IF(F26="",0,LEN(F26)-LEN(SUBSTITUTE(F26,",",""))+1)</f>
        <v/>
      </c>
      <c r="H26" s="6" t="inlineStr">
        <is>
          <t>D (obligatoire) : motorcycle</t>
        </is>
      </c>
      <c r="I26" s="6" t="inlineStr">
        <is>
          <t>oui</t>
        </is>
      </c>
      <c r="J26" s="6" t="n">
        <v>32</v>
      </c>
      <c r="K26" s="6" t="n">
        <v>32</v>
      </c>
      <c r="L26" s="6" t="n">
        <v>0</v>
      </c>
      <c r="M26" s="6" t="inlineStr">
        <is>
          <t>#20 Vehicle(s) drifting, same direction</t>
        </is>
      </c>
      <c r="N26" s="6" t="inlineStr">
        <is>
          <t>H1</t>
        </is>
      </c>
      <c r="O26" s="6" t="inlineStr">
        <is>
          <t>TC-CRAWL-200, TC-CRAWL-201</t>
        </is>
      </c>
      <c r="P26" s="6" t="inlineStr">
        <is>
          <t>TORC-SYSRQ-14128</t>
        </is>
      </c>
      <c r="Q26" s="6" t="inlineStr">
        <is>
          <t>oui</t>
        </is>
      </c>
      <c r="R26" s="6" t="inlineStr">
        <is>
          <t>SERYTI catalogue v1 (PROPOSED)</t>
        </is>
      </c>
      <c r="S26" s="6" t="inlineStr">
        <is>
          <t>PROPOSED</t>
        </is>
      </c>
      <c r="T26" s="6" t="inlineStr"/>
      <c r="U26" s="6" t="inlineStr"/>
    </row>
    <row r="27">
      <c r="A27" s="6" t="inlineStr">
        <is>
          <t>ADJ-04</t>
        </is>
      </c>
      <c r="B27" s="6" t="inlineStr">
        <is>
          <t>ADJ</t>
        </is>
      </c>
      <c r="C27" s="6" t="inlineStr">
        <is>
          <t>Dépassement rapide et serré</t>
        </is>
      </c>
      <c r="D27" s="6" t="inlineStr">
        <is>
          <t>Un véhicule dépasse le SDT très vite et très près.</t>
        </is>
      </c>
      <c r="E27" s="6" t="inlineStr">
        <is>
          <t>Highway</t>
        </is>
      </c>
      <c r="F27" s="6" t="inlineStr">
        <is>
          <t>HW-CRU, HW-FOL</t>
        </is>
      </c>
      <c r="G27" s="6">
        <f>IF(F27="",0,LEN(F27)-LEN(SUBSTITUTE(F27,",",""))+1)</f>
        <v/>
      </c>
      <c r="H27" s="6" t="inlineStr">
        <is>
          <t>D (obligatoire) : car, pickup</t>
        </is>
      </c>
      <c r="I27" s="6" t="inlineStr">
        <is>
          <t>oui</t>
        </is>
      </c>
      <c r="J27" s="6" t="n">
        <v>64</v>
      </c>
      <c r="K27" s="6" t="n">
        <v>64</v>
      </c>
      <c r="L27" s="6" t="n">
        <v>0</v>
      </c>
      <c r="M27" s="6" t="inlineStr">
        <is>
          <t>#20 Vehicle(s) drifting, same direction</t>
        </is>
      </c>
      <c r="N27" s="6" t="inlineStr">
        <is>
          <t>H1</t>
        </is>
      </c>
      <c r="O27" s="6" t="inlineStr">
        <is>
          <t>TC-CRAWL-179</t>
        </is>
      </c>
      <c r="P27" s="6" t="inlineStr">
        <is>
          <t>TORC-SYSRQ-10180, TORC-SYSRQ-14128</t>
        </is>
      </c>
      <c r="Q27" s="6" t="inlineStr">
        <is>
          <t>non</t>
        </is>
      </c>
      <c r="R27" s="6" t="inlineStr">
        <is>
          <t>SERYTI catalogue v1 (PROPOSED)</t>
        </is>
      </c>
      <c r="S27" s="6" t="inlineStr">
        <is>
          <t>PROPOSED</t>
        </is>
      </c>
      <c r="T27" s="6" t="inlineStr"/>
      <c r="U27" s="6" t="inlineStr"/>
    </row>
    <row r="28">
      <c r="A28" s="6" t="inlineStr">
        <is>
          <t>ADJ-05</t>
        </is>
      </c>
      <c r="B28" s="6" t="inlineStr">
        <is>
          <t>ADJ</t>
        </is>
      </c>
      <c r="C28" s="6" t="inlineStr">
        <is>
          <t>Convoi lent dans la voie adjacente</t>
        </is>
      </c>
      <c r="D28" s="6" t="inlineStr">
        <is>
          <t>Le SDT longe ou dépasse une file de véhicules lents dans la voie voisine (Foretellix « slow neighbors »). Risque : un véhicule du convoi déboîte devant le SDT.</t>
        </is>
      </c>
      <c r="E28" s="6" t="inlineStr">
        <is>
          <t>Highway</t>
        </is>
      </c>
      <c r="F28" s="6" t="inlineStr">
        <is>
          <t>HW-CRU, HW-FOL, HW-LC</t>
        </is>
      </c>
      <c r="G28" s="6">
        <f>IF(F28="",0,LEN(F28)-LEN(SUBSTITUTE(F28,",",""))+1)</f>
        <v/>
      </c>
      <c r="H28" s="6" t="inlineStr">
        <is>
          <t>D (obligatoire) : car, tractor_trailer</t>
        </is>
      </c>
      <c r="I28" s="6" t="inlineStr">
        <is>
          <t>oui</t>
        </is>
      </c>
      <c r="J28" s="6" t="n">
        <v>864</v>
      </c>
      <c r="K28" s="6" t="n">
        <v>864</v>
      </c>
      <c r="L28" s="6" t="n">
        <v>0</v>
      </c>
      <c r="M28" s="6" t="inlineStr">
        <is>
          <t>#19 Vehicle(s) changing lanes, same direction, #20 Vehicle(s) drifting, same direction</t>
        </is>
      </c>
      <c r="N28" s="6" t="inlineStr">
        <is>
          <t>H1</t>
        </is>
      </c>
      <c r="O28" s="6" t="inlineStr"/>
      <c r="P28" s="6" t="inlineStr">
        <is>
          <t>TORC-SYSRQ-14128, TORC-SYSRQ-10180</t>
        </is>
      </c>
      <c r="Q28" s="6" t="inlineStr">
        <is>
          <t>non</t>
        </is>
      </c>
      <c r="R28" s="6" t="inlineStr">
        <is>
          <t>SERYTI catalogue v1 (PROPOSED)</t>
        </is>
      </c>
      <c r="S28" s="6" t="inlineStr">
        <is>
          <t>PROPOSED</t>
        </is>
      </c>
      <c r="T28" s="6" t="inlineStr"/>
      <c r="U28" s="6" t="inlineStr">
        <is>
          <t>§7 Slow neighbors (couvert)</t>
        </is>
      </c>
    </row>
    <row r="29">
      <c r="A29" s="6" t="inlineStr">
        <is>
          <t>ADJ-06</t>
        </is>
      </c>
      <c r="B29" s="6" t="inlineStr">
        <is>
          <t>ADJ</t>
        </is>
      </c>
      <c r="C29" s="6" t="inlineStr">
        <is>
          <t>Véhicule adjacent qui serre la ligne (lane hugger)</t>
        </is>
      </c>
      <c r="D29" s="6" t="inlineStr">
        <is>
          <t>Un véhicule voisin roule collé au marquage côté SDT sans sortir de sa voie (Foretellix « lane hugger ») : moins d'espace latéral et moins de temps pour voir un cut-in.</t>
        </is>
      </c>
      <c r="E29" s="6" t="inlineStr">
        <is>
          <t>Highway</t>
        </is>
      </c>
      <c r="F29" s="6" t="inlineStr">
        <is>
          <t>HW-CRU, HW-FOL, HW-LC</t>
        </is>
      </c>
      <c r="G29" s="6">
        <f>IF(F29="",0,LEN(F29)-LEN(SUBSTITUTE(F29,",",""))+1)</f>
        <v/>
      </c>
      <c r="H29" s="6" t="inlineStr">
        <is>
          <t>D (optionnel) : car, tractor_trailer · hug
B (optionnel) : car, tractor_trailer · hug</t>
        </is>
      </c>
      <c r="I29" s="6" t="inlineStr">
        <is>
          <t>oui</t>
        </is>
      </c>
      <c r="J29" s="6" t="n">
        <v>2952</v>
      </c>
      <c r="K29" s="6" t="n">
        <v>1800</v>
      </c>
      <c r="L29" s="6" t="n">
        <v>1152</v>
      </c>
      <c r="M29" s="6" t="inlineStr">
        <is>
          <t>#20 Vehicle(s) drifting, same direction</t>
        </is>
      </c>
      <c r="N29" s="6" t="inlineStr">
        <is>
          <t>H1</t>
        </is>
      </c>
      <c r="O29" s="6" t="inlineStr"/>
      <c r="P29" s="6" t="inlineStr">
        <is>
          <t>TORC-SYSRQ-14128, TORC-SYSRQ-10180</t>
        </is>
      </c>
      <c r="Q29" s="6" t="inlineStr">
        <is>
          <t>non</t>
        </is>
      </c>
      <c r="R29" s="6" t="inlineStr">
        <is>
          <t>SERYTI catalogue v1 (PROPOSED)</t>
        </is>
      </c>
      <c r="S29" s="6" t="inlineStr">
        <is>
          <t>PROPOSED</t>
        </is>
      </c>
      <c r="T29" s="6" t="inlineStr"/>
      <c r="U29" s="6" t="inlineStr">
        <is>
          <t>§8 Lane hugger (couvert)</t>
        </is>
      </c>
    </row>
    <row r="30">
      <c r="A30" s="6" t="inlineStr">
        <is>
          <t>ADJ-07</t>
        </is>
      </c>
      <c r="B30" s="6" t="inlineStr">
        <is>
          <t>ADJ</t>
        </is>
      </c>
      <c r="C30" s="6" t="inlineStr">
        <is>
          <t>File de véhicules arrêtés dans la voie adjacente</t>
        </is>
      </c>
      <c r="D30" s="6" t="inlineStr">
        <is>
          <t>Le SDT passe le long d'une file arrêtée dans la voie voisine (file de sortie, accident, bouchon d'une seule voie) (Foretellix « stopped vehicles »).</t>
        </is>
      </c>
      <c r="E30" s="6" t="inlineStr">
        <is>
          <t>Highway</t>
        </is>
      </c>
      <c r="F30" s="6" t="inlineStr">
        <is>
          <t>HW-CRU, HW-FOL, HW-LC</t>
        </is>
      </c>
      <c r="G30" s="6">
        <f>IF(F30="",0,LEN(F30)-LEN(SUBSTITUTE(F30,",",""))+1)</f>
        <v/>
      </c>
      <c r="H30" s="6" t="inlineStr">
        <is>
          <t>B (obligatoire) : car, tractor_trailer</t>
        </is>
      </c>
      <c r="I30" s="6" t="inlineStr">
        <is>
          <t>oui</t>
        </is>
      </c>
      <c r="J30" s="6" t="n">
        <v>288</v>
      </c>
      <c r="K30" s="6" t="n">
        <v>288</v>
      </c>
      <c r="L30" s="6" t="n">
        <v>0</v>
      </c>
      <c r="M30" s="6" t="inlineStr">
        <is>
          <t>#19 Vehicle(s) changing lanes, same direction</t>
        </is>
      </c>
      <c r="N30" s="6" t="inlineStr">
        <is>
          <t>H1, H2</t>
        </is>
      </c>
      <c r="O30" s="6" t="inlineStr"/>
      <c r="P30" s="6" t="inlineStr">
        <is>
          <t>TORC-SYSRQ-14128</t>
        </is>
      </c>
      <c r="Q30" s="6" t="inlineStr">
        <is>
          <t>non</t>
        </is>
      </c>
      <c r="R30" s="6" t="inlineStr">
        <is>
          <t>SERYTI catalogue v1 (PROPOSED)</t>
        </is>
      </c>
      <c r="S30" s="6" t="inlineStr">
        <is>
          <t>PROPOSED</t>
        </is>
      </c>
      <c r="T30" s="6" t="inlineStr"/>
      <c r="U30" s="6" t="inlineStr">
        <is>
          <t>§10 Stopped vehicles (couvert)</t>
        </is>
      </c>
    </row>
    <row r="31">
      <c r="A31" s="6" t="inlineStr">
        <is>
          <t>LC-NOM-01</t>
        </is>
      </c>
      <c r="B31" s="6" t="inlineStr">
        <is>
          <t>LC-NOM</t>
        </is>
      </c>
      <c r="C31" s="6" t="inlineStr">
        <is>
          <t>lane change free target lane</t>
        </is>
      </c>
      <c r="D31" s="6" t="inlineStr">
        <is>
          <t>SDT changes lane into an empty target lane. Ego-only reference scenario.</t>
        </is>
      </c>
      <c r="E31" s="6" t="inlineStr">
        <is>
          <t>Highway, Urban</t>
        </is>
      </c>
      <c r="F31" s="6" t="inlineStr">
        <is>
          <t>HW-LC, URB-LC</t>
        </is>
      </c>
      <c r="G31" s="6">
        <f>IF(F31="",0,LEN(F31)-LEN(SUBSTITUTE(F31,",",""))+1)</f>
        <v/>
      </c>
      <c r="H31" s="6" t="inlineStr">
        <is>
          <t>aucun (SDT seul)</t>
        </is>
      </c>
      <c r="I31" s="6" t="inlineStr">
        <is>
          <t>oui</t>
        </is>
      </c>
      <c r="J31" s="6" t="n">
        <v>48</v>
      </c>
      <c r="K31" s="6" t="n">
        <v>28</v>
      </c>
      <c r="L31" s="6" t="n">
        <v>20</v>
      </c>
      <c r="M31" s="6" t="inlineStr"/>
      <c r="N31" s="6" t="inlineStr">
        <is>
          <t>H1, H4, H5</t>
        </is>
      </c>
      <c r="O31" s="6" t="inlineStr">
        <is>
          <t>TC-CRAWL-055, TC-CRAWL-060, TC-CRAWL-067, TC-CRAWL-068, TC-CRAWL-225, TC-CRAWL-227</t>
        </is>
      </c>
      <c r="P31" s="6" t="inlineStr">
        <is>
          <t>TORC-SYSRQ-14123, TORC-TXT-14209, TORC-SYSRQ-10197, TORC-SYSRQ-10640, TORC-SYSRQ-13836, TORC-SYSRQ-10651, TORC-SYSRQ-13830, TORC-SYSRQ-10628, TORC-SYSRQ-10648</t>
        </is>
      </c>
      <c r="Q31" s="6" t="inlineStr">
        <is>
          <t>non</t>
        </is>
      </c>
      <c r="R31" s="6" t="inlineStr">
        <is>
          <t>SERYTI Lane Change library v0</t>
        </is>
      </c>
      <c r="S31" s="6" t="inlineStr">
        <is>
          <t>PROPOSED</t>
        </is>
      </c>
      <c r="T31" s="6" t="inlineStr"/>
      <c r="U31" s="6" t="inlineStr"/>
    </row>
    <row r="32">
      <c r="A32" s="6" t="inlineStr">
        <is>
          <t>LC-NOM-02</t>
        </is>
      </c>
      <c r="B32" s="6" t="inlineStr">
        <is>
          <t>LC-NOM</t>
        </is>
      </c>
      <c r="C32" s="6" t="inlineStr">
        <is>
          <t>lane change into gap with surrounding traffic</t>
        </is>
      </c>
      <c r="D32" s="6" t="inlineStr">
        <is>
          <t>SDT changes lane into the gap between B (ahead) and D (behind) in the target lane, with A and C in the origin lane. All actors keep their speed.</t>
        </is>
      </c>
      <c r="E32" s="6" t="inlineStr">
        <is>
          <t>Highway, Urban</t>
        </is>
      </c>
      <c r="F32" s="6" t="inlineStr">
        <is>
          <t>HW-LC, URB-LC</t>
        </is>
      </c>
      <c r="G32" s="6">
        <f>IF(F32="",0,LEN(F32)-LEN(SUBSTITUTE(F32,",",""))+1)</f>
        <v/>
      </c>
      <c r="H32" s="6" t="inlineStr">
        <is>
          <t>A (obligatoire) : car
B (obligatoire) : car
C (obligatoire) : car
D (obligatoire) : car, tractor_trailer</t>
        </is>
      </c>
      <c r="I32" s="6" t="inlineStr">
        <is>
          <t>oui</t>
        </is>
      </c>
      <c r="J32" s="6" t="n">
        <v>3456</v>
      </c>
      <c r="K32" s="6" t="n">
        <v>2880</v>
      </c>
      <c r="L32" s="6" t="n">
        <v>576</v>
      </c>
      <c r="M32" s="6" t="inlineStr">
        <is>
          <t>#19 Vehicle(s) changing lanes, same direction</t>
        </is>
      </c>
      <c r="N32" s="6" t="inlineStr">
        <is>
          <t>H1, H2, H3, H4</t>
        </is>
      </c>
      <c r="O32" s="6" t="inlineStr">
        <is>
          <t>TC-CRAWL-168, TC-CRAWL-169, TC-CRAWL-173, TC-CRAWL-186, TC-CRAWL-176</t>
        </is>
      </c>
      <c r="P32" s="6" t="inlineStr">
        <is>
          <t>TORC-SYSRQ-14123, TORC-TXT-14209, TORC-SYSRQ-10197, TORC-SYSRQ-10640, TORC-SYSRQ-13836, TORC-SYSRQ-10651, TORC-SYSRQ-13830, TORC-SYSRQ-10628, TORC-SYSRQ-10649, TORC-SYSRQ-13828</t>
        </is>
      </c>
      <c r="Q32" s="6" t="inlineStr">
        <is>
          <t>non</t>
        </is>
      </c>
      <c r="R32" s="6" t="inlineStr">
        <is>
          <t>SERYTI Lane Change library v0</t>
        </is>
      </c>
      <c r="S32" s="6" t="inlineStr">
        <is>
          <t>PROPOSED</t>
        </is>
      </c>
      <c r="T32" s="6" t="inlineStr"/>
      <c r="U32" s="6" t="inlineStr"/>
    </row>
    <row r="33">
      <c r="A33" s="6" t="inlineStr">
        <is>
          <t>LC-NOM-03</t>
        </is>
      </c>
      <c r="B33" s="6" t="inlineStr">
        <is>
          <t>LC-NOM</t>
        </is>
      </c>
      <c r="C33" s="6" t="inlineStr">
        <is>
          <t>overtake slow lead</t>
        </is>
      </c>
      <c r="D33" s="6" t="inlineStr">
        <is>
          <t>A is slower than SDT in the origin lane. SDT changes lane, passes A, keeps the target lane or prepares to return.</t>
        </is>
      </c>
      <c r="E33" s="6" t="inlineStr">
        <is>
          <t>Highway</t>
        </is>
      </c>
      <c r="F33" s="6" t="inlineStr">
        <is>
          <t>HW-LC</t>
        </is>
      </c>
      <c r="G33" s="6">
        <f>IF(F33="",0,LEN(F33)-LEN(SUBSTITUTE(F33,",",""))+1)</f>
        <v/>
      </c>
      <c r="H33" s="6" t="inlineStr">
        <is>
          <t>A (obligatoire) : car, tractor_trailer
B (optionnel) : car
D (optionnel) : car</t>
        </is>
      </c>
      <c r="I33" s="6" t="inlineStr">
        <is>
          <t>oui</t>
        </is>
      </c>
      <c r="J33" s="6" t="n">
        <v>384</v>
      </c>
      <c r="K33" s="6" t="n">
        <v>384</v>
      </c>
      <c r="L33" s="6" t="n">
        <v>0</v>
      </c>
      <c r="M33" s="6" t="inlineStr">
        <is>
          <t>#19 Vehicle(s) changing lanes, same direction, #25 Lead vehicle moving at lower constant speed</t>
        </is>
      </c>
      <c r="N33" s="6" t="inlineStr">
        <is>
          <t>H1, H2, H3</t>
        </is>
      </c>
      <c r="O33" s="6" t="inlineStr">
        <is>
          <t>TC-CRAWL-134, TC-CRAWL-187, TC-CRAWL-189, TC-CRAWL-192</t>
        </is>
      </c>
      <c r="P33" s="6" t="inlineStr">
        <is>
          <t>TORC-SYSRQ-14123, TORC-TXT-14209, TORC-SYSRQ-10197, TORC-SYSRQ-10640, TORC-SYSRQ-13836, TORC-SYSRQ-10651, TORC-SYSRQ-13830, TORC-SYSRQ-10628</t>
        </is>
      </c>
      <c r="Q33" s="6" t="inlineStr">
        <is>
          <t>non</t>
        </is>
      </c>
      <c r="R33" s="6" t="inlineStr">
        <is>
          <t>SERYTI Lane Change library v0</t>
        </is>
      </c>
      <c r="S33" s="6" t="inlineStr">
        <is>
          <t>PROPOSED</t>
        </is>
      </c>
      <c r="T33" s="6" t="inlineStr"/>
      <c r="U33" s="6" t="inlineStr"/>
    </row>
    <row r="34">
      <c r="A34" s="6" t="inlineStr">
        <is>
          <t>LC-NOM-04</t>
        </is>
      </c>
      <c r="B34" s="6" t="inlineStr">
        <is>
          <t>LC-NOM</t>
        </is>
      </c>
      <c r="C34" s="6" t="inlineStr">
        <is>
          <t>return lane after overtake</t>
        </is>
      </c>
      <c r="D34" s="6" t="inlineStr">
        <is>
          <t>After passing, SDT returns to the original lane in front of the overtaken vehicle, which is now C in the target lane.</t>
        </is>
      </c>
      <c r="E34" s="6" t="inlineStr">
        <is>
          <t>Highway</t>
        </is>
      </c>
      <c r="F34" s="6" t="inlineStr">
        <is>
          <t>HW-LC</t>
        </is>
      </c>
      <c r="G34" s="6">
        <f>IF(F34="",0,LEN(F34)-LEN(SUBSTITUTE(F34,",",""))+1)</f>
        <v/>
      </c>
      <c r="H34" s="6" t="inlineStr">
        <is>
          <t>D (obligatoire) : car, tractor_trailer
B (optionnel) : car</t>
        </is>
      </c>
      <c r="I34" s="6" t="inlineStr">
        <is>
          <t>oui</t>
        </is>
      </c>
      <c r="J34" s="6" t="n">
        <v>48</v>
      </c>
      <c r="K34" s="6" t="n">
        <v>48</v>
      </c>
      <c r="L34" s="6" t="n">
        <v>0</v>
      </c>
      <c r="M34" s="6" t="inlineStr">
        <is>
          <t>#19 Vehicle(s) changing lanes, same direction</t>
        </is>
      </c>
      <c r="N34" s="6" t="inlineStr">
        <is>
          <t>H1, H2, H3</t>
        </is>
      </c>
      <c r="O34" s="6" t="inlineStr">
        <is>
          <t>TC-CRAWL-014, TC-CRAWL-176, TC-CRAWL-186</t>
        </is>
      </c>
      <c r="P34" s="6" t="inlineStr">
        <is>
          <t>TORC-SYSRQ-14123, TORC-TXT-14209, TORC-SYSRQ-10197, TORC-SYSRQ-10640, TORC-SYSRQ-13836, TORC-SYSRQ-10651, TORC-SYSRQ-13830, TORC-SYSRQ-10628</t>
        </is>
      </c>
      <c r="Q34" s="6" t="inlineStr">
        <is>
          <t>non</t>
        </is>
      </c>
      <c r="R34" s="6" t="inlineStr">
        <is>
          <t>SERYTI Lane Change library v0</t>
        </is>
      </c>
      <c r="S34" s="6" t="inlineStr">
        <is>
          <t>PROPOSED</t>
        </is>
      </c>
      <c r="T34" s="6" t="inlineStr"/>
      <c r="U34" s="6" t="inlineStr"/>
    </row>
    <row r="35">
      <c r="A35" s="6" t="inlineStr">
        <is>
          <t>LC-TGT-01</t>
        </is>
      </c>
      <c r="B35" s="6" t="inlineStr">
        <is>
          <t>LC-TGT</t>
        </is>
      </c>
      <c r="C35" s="6" t="inlineStr">
        <is>
          <t>lane change with fast rear approach</t>
        </is>
      </c>
      <c r="D35" s="6" t="inlineStr">
        <is>
          <t>D approaches fast in the target lane while SDT prepares or starts the lane change.</t>
        </is>
      </c>
      <c r="E35" s="6" t="inlineStr">
        <is>
          <t>Highway, Urban</t>
        </is>
      </c>
      <c r="F35" s="6" t="inlineStr">
        <is>
          <t>HW-LC, URB-LC</t>
        </is>
      </c>
      <c r="G35" s="6">
        <f>IF(F35="",0,LEN(F35)-LEN(SUBSTITUTE(F35,",",""))+1)</f>
        <v/>
      </c>
      <c r="H35" s="6" t="inlineStr">
        <is>
          <t>D (obligatoire) : car
B (optionnel) : car</t>
        </is>
      </c>
      <c r="I35" s="6" t="inlineStr">
        <is>
          <t>oui</t>
        </is>
      </c>
      <c r="J35" s="6" t="n">
        <v>72</v>
      </c>
      <c r="K35" s="6" t="n">
        <v>72</v>
      </c>
      <c r="L35" s="6" t="n">
        <v>0</v>
      </c>
      <c r="M35" s="6" t="inlineStr">
        <is>
          <t>#19 Vehicle(s) changing lanes, same direction</t>
        </is>
      </c>
      <c r="N35" s="6" t="inlineStr">
        <is>
          <t>H1, H2, H3</t>
        </is>
      </c>
      <c r="O35" s="6" t="inlineStr">
        <is>
          <t>TC-CRAWL-179, TC-CRAWL-175, TC-CRAWL-186, TC-CRAWL-169</t>
        </is>
      </c>
      <c r="P35" s="6" t="inlineStr">
        <is>
          <t>TORC-SYSRQ-14123, TORC-TXT-14209, TORC-SYSRQ-10197, TORC-SYSRQ-10640, TORC-SYSRQ-13836, TORC-SYSRQ-10651, TORC-SYSRQ-13830, TORC-SYSRQ-10628, TORC-SYSRQ-10649</t>
        </is>
      </c>
      <c r="Q35" s="6" t="inlineStr">
        <is>
          <t>non</t>
        </is>
      </c>
      <c r="R35" s="6" t="inlineStr">
        <is>
          <t>SERYTI Lane Change library v0</t>
        </is>
      </c>
      <c r="S35" s="6" t="inlineStr">
        <is>
          <t>PROPOSED</t>
        </is>
      </c>
      <c r="T35" s="6" t="inlineStr"/>
      <c r="U35" s="6" t="inlineStr"/>
    </row>
    <row r="36">
      <c r="A36" s="6" t="inlineStr">
        <is>
          <t>LC-TGT-02</t>
        </is>
      </c>
      <c r="B36" s="6" t="inlineStr">
        <is>
          <t>LC-TGT</t>
        </is>
      </c>
      <c r="C36" s="6" t="inlineStr">
        <is>
          <t>lane change with simultaneous merge from far lane</t>
        </is>
      </c>
      <c r="D36" s="6" t="inlineStr">
        <is>
          <t>While SDT changes into the target lane, E in the lane beyond the target lane also changes into the same target lane.</t>
        </is>
      </c>
      <c r="E36" s="6" t="inlineStr">
        <is>
          <t>Highway</t>
        </is>
      </c>
      <c r="F36" s="6" t="inlineStr">
        <is>
          <t>HW-LC</t>
        </is>
      </c>
      <c r="G36" s="6">
        <f>IF(F36="",0,LEN(F36)-LEN(SUBSTITUTE(F36,",",""))+1)</f>
        <v/>
      </c>
      <c r="H36" s="6" t="inlineStr">
        <is>
          <t>A (optionnel) : car
B (obligatoire) : car
C (optionnel) : car
D (obligatoire) : car
E (obligatoire) : car, pickup · lane_change_into_target
F (optionnel) : car</t>
        </is>
      </c>
      <c r="I36" s="6" t="inlineStr">
        <is>
          <t>oui</t>
        </is>
      </c>
      <c r="J36" s="6" t="n">
        <v>448</v>
      </c>
      <c r="K36" s="6" t="n">
        <v>448</v>
      </c>
      <c r="L36" s="6" t="n">
        <v>0</v>
      </c>
      <c r="M36" s="6" t="inlineStr">
        <is>
          <t>#19 Vehicle(s) changing lanes, same direction</t>
        </is>
      </c>
      <c r="N36" s="6" t="inlineStr">
        <is>
          <t>H1, H4</t>
        </is>
      </c>
      <c r="O36" s="6" t="inlineStr">
        <is>
          <t>TC-CRAWL-171, TC-CRAWL-175, TC-CRAWL-181, TC-CRAWL-184, TC-CRAWL-186</t>
        </is>
      </c>
      <c r="P36" s="6" t="inlineStr">
        <is>
          <t>TORC-SYSRQ-14123, TORC-TXT-14209, TORC-SYSRQ-10197, TORC-SYSRQ-10640, TORC-SYSRQ-13836, TORC-SYSRQ-10651, TORC-SYSRQ-13830, TORC-SYSRQ-10628</t>
        </is>
      </c>
      <c r="Q36" s="6" t="inlineStr">
        <is>
          <t>non</t>
        </is>
      </c>
      <c r="R36" s="6" t="inlineStr">
        <is>
          <t>SERYTI Lane Change library v0</t>
        </is>
      </c>
      <c r="S36" s="6" t="inlineStr">
        <is>
          <t>PROPOSED</t>
        </is>
      </c>
      <c r="T36" s="6" t="inlineStr"/>
      <c r="U36" s="6" t="inlineStr"/>
    </row>
    <row r="37">
      <c r="A37" s="6" t="inlineStr">
        <is>
          <t>LC-TGT-03</t>
        </is>
      </c>
      <c r="B37" s="6" t="inlineStr">
        <is>
          <t>LC-TGT</t>
        </is>
      </c>
      <c r="C37" s="6" t="inlineStr">
        <is>
          <t>lane change with closing gap</t>
        </is>
      </c>
      <c r="D37" s="6" t="inlineStr">
        <is>
          <t>D accelerates to close the gap while SDT signals or starts the lane change (non-cooperative driver).</t>
        </is>
      </c>
      <c r="E37" s="6" t="inlineStr">
        <is>
          <t>Highway</t>
        </is>
      </c>
      <c r="F37" s="6" t="inlineStr">
        <is>
          <t>HW-LC, HW-ONR</t>
        </is>
      </c>
      <c r="G37" s="6">
        <f>IF(F37="",0,LEN(F37)-LEN(SUBSTITUTE(F37,",",""))+1)</f>
        <v/>
      </c>
      <c r="H37" s="6" t="inlineStr">
        <is>
          <t>D (obligatoire) : car · accelerate
B (obligatoire) : car</t>
        </is>
      </c>
      <c r="I37" s="6" t="inlineStr">
        <is>
          <t>oui</t>
        </is>
      </c>
      <c r="J37" s="6" t="n">
        <v>64</v>
      </c>
      <c r="K37" s="6" t="n">
        <v>64</v>
      </c>
      <c r="L37" s="6" t="n">
        <v>0</v>
      </c>
      <c r="M37" s="6" t="inlineStr">
        <is>
          <t>#19 Vehicle(s) changing lanes, same direction</t>
        </is>
      </c>
      <c r="N37" s="6" t="inlineStr">
        <is>
          <t>H1, H2, H3</t>
        </is>
      </c>
      <c r="O37" s="6" t="inlineStr">
        <is>
          <t>TC-CRAWL-175, TC-CRAWL-176</t>
        </is>
      </c>
      <c r="P37" s="6" t="inlineStr">
        <is>
          <t>TORC-SYSRQ-14123, TORC-TXT-14209, TORC-SYSRQ-10197, TORC-SYSRQ-10640, TORC-SYSRQ-13836, TORC-SYSRQ-10651, TORC-SYSRQ-13830, TORC-SYSRQ-10628, TORC-SYSRQ-10649, TORC-SYSRQ-10647</t>
        </is>
      </c>
      <c r="Q37" s="6" t="inlineStr">
        <is>
          <t>non</t>
        </is>
      </c>
      <c r="R37" s="6" t="inlineStr">
        <is>
          <t>SERYTI Lane Change library v0</t>
        </is>
      </c>
      <c r="S37" s="6" t="inlineStr">
        <is>
          <t>PROPOSED</t>
        </is>
      </c>
      <c r="T37" s="6" t="inlineStr"/>
      <c r="U37" s="6" t="inlineStr"/>
    </row>
    <row r="38">
      <c r="A38" s="6" t="inlineStr">
        <is>
          <t>LC-TGT-04</t>
        </is>
      </c>
      <c r="B38" s="6" t="inlineStr">
        <is>
          <t>LC-TGT</t>
        </is>
      </c>
      <c r="C38" s="6" t="inlineStr">
        <is>
          <t>lane change with target lead braking</t>
        </is>
      </c>
      <c r="D38" s="6" t="inlineStr">
        <is>
          <t>B brakes while SDT is moving into the target lane behind it.</t>
        </is>
      </c>
      <c r="E38" s="6" t="inlineStr">
        <is>
          <t>Highway</t>
        </is>
      </c>
      <c r="F38" s="6" t="inlineStr">
        <is>
          <t>HW-LC</t>
        </is>
      </c>
      <c r="G38" s="6">
        <f>IF(F38="",0,LEN(F38)-LEN(SUBSTITUTE(F38,",",""))+1)</f>
        <v/>
      </c>
      <c r="H38" s="6" t="inlineStr">
        <is>
          <t>B (obligatoire) : car, tractor_trailer · brake
D (obligatoire) : car</t>
        </is>
      </c>
      <c r="I38" s="6" t="inlineStr">
        <is>
          <t>oui</t>
        </is>
      </c>
      <c r="J38" s="6" t="n">
        <v>192</v>
      </c>
      <c r="K38" s="6" t="n">
        <v>160</v>
      </c>
      <c r="L38" s="6" t="n">
        <v>32</v>
      </c>
      <c r="M38" s="6" t="inlineStr">
        <is>
          <t>#19 Vehicle(s) changing lanes, same direction, #26 Lead vehicle decelerating</t>
        </is>
      </c>
      <c r="N38" s="6" t="inlineStr">
        <is>
          <t>H2, H3</t>
        </is>
      </c>
      <c r="O38" s="6" t="inlineStr">
        <is>
          <t>TC-CRAWL-185, TC-CRAWL-176, TC-CRAWL-039</t>
        </is>
      </c>
      <c r="P38" s="6" t="inlineStr">
        <is>
          <t>TORC-SYSRQ-14123, TORC-TXT-14209, TORC-SYSRQ-10197, TORC-SYSRQ-10640, TORC-SYSRQ-13836, TORC-SYSRQ-10651, TORC-SYSRQ-13830, TORC-SYSRQ-10628, TORC-SYSRQ-13828, TORC-SYSRQ-13835</t>
        </is>
      </c>
      <c r="Q38" s="6" t="inlineStr">
        <is>
          <t>non</t>
        </is>
      </c>
      <c r="R38" s="6" t="inlineStr">
        <is>
          <t>SERYTI Lane Change library v0</t>
        </is>
      </c>
      <c r="S38" s="6" t="inlineStr">
        <is>
          <t>PROPOSED</t>
        </is>
      </c>
      <c r="T38" s="6" t="inlineStr"/>
      <c r="U38" s="6" t="inlineStr"/>
    </row>
    <row r="39">
      <c r="A39" s="6" t="inlineStr">
        <is>
          <t>LC-TGT-05</t>
        </is>
      </c>
      <c r="B39" s="6" t="inlineStr">
        <is>
          <t>LC-TGT</t>
        </is>
      </c>
      <c r="C39" s="6" t="inlineStr">
        <is>
          <t>lane change with vehicle alongside trailer</t>
        </is>
      </c>
      <c r="D39" s="6" t="inlineStr">
        <is>
          <t>A vehicle travels alongside the SDT trailer in the target lane (D overlapping the combination), partly in the trailer blind zone.</t>
        </is>
      </c>
      <c r="E39" s="6" t="inlineStr">
        <is>
          <t>Highway</t>
        </is>
      </c>
      <c r="F39" s="6" t="inlineStr">
        <is>
          <t>HW-LC</t>
        </is>
      </c>
      <c r="G39" s="6">
        <f>IF(F39="",0,LEN(F39)-LEN(SUBSTITUTE(F39,",",""))+1)</f>
        <v/>
      </c>
      <c r="H39" s="6" t="inlineStr">
        <is>
          <t>D (obligatoire) : car, pickup</t>
        </is>
      </c>
      <c r="I39" s="6" t="inlineStr">
        <is>
          <t>oui</t>
        </is>
      </c>
      <c r="J39" s="6" t="n">
        <v>64</v>
      </c>
      <c r="K39" s="6" t="n">
        <v>64</v>
      </c>
      <c r="L39" s="6" t="n">
        <v>0</v>
      </c>
      <c r="M39" s="6" t="inlineStr">
        <is>
          <t>#19 Vehicle(s) changing lanes, same direction, #20 Vehicle(s) drifting, same direction</t>
        </is>
      </c>
      <c r="N39" s="6" t="inlineStr">
        <is>
          <t>H1, H2, H3</t>
        </is>
      </c>
      <c r="O39" s="6" t="inlineStr">
        <is>
          <t>TC-CRAWL-014, TC-CRAWL-186, TC-CRAWL-193, TC-CRAWL-012</t>
        </is>
      </c>
      <c r="P39" s="6" t="inlineStr">
        <is>
          <t>TORC-SYSRQ-14123, TORC-TXT-14209, TORC-SYSRQ-10197, TORC-SYSRQ-10640, TORC-SYSRQ-13836, TORC-SYSRQ-10651, TORC-SYSRQ-13830, TORC-SYSRQ-10628, TORC-SYSRQ-14128, TORC-SYSRQ-10182</t>
        </is>
      </c>
      <c r="Q39" s="6" t="inlineStr">
        <is>
          <t>non</t>
        </is>
      </c>
      <c r="R39" s="6" t="inlineStr">
        <is>
          <t>SERYTI Lane Change library v0</t>
        </is>
      </c>
      <c r="S39" s="6" t="inlineStr">
        <is>
          <t>PROPOSED</t>
        </is>
      </c>
      <c r="T39" s="6" t="inlineStr"/>
      <c r="U39" s="6" t="inlineStr"/>
    </row>
    <row r="40">
      <c r="A40" s="6" t="inlineStr">
        <is>
          <t>LC-TGT-06</t>
        </is>
      </c>
      <c r="B40" s="6" t="inlineStr">
        <is>
          <t>LC-TGT</t>
        </is>
      </c>
      <c r="C40" s="6" t="inlineStr">
        <is>
          <t>lane change with motorcycle in blind spot</t>
        </is>
      </c>
      <c r="D40" s="6" t="inlineStr">
        <is>
          <t>A motorcycle is in the target lane in the SDT blind zone or lane-splitting.</t>
        </is>
      </c>
      <c r="E40" s="6" t="inlineStr">
        <is>
          <t>Highway</t>
        </is>
      </c>
      <c r="F40" s="6" t="inlineStr">
        <is>
          <t>HW-LC</t>
        </is>
      </c>
      <c r="G40" s="6">
        <f>IF(F40="",0,LEN(F40)-LEN(SUBSTITUTE(F40,",",""))+1)</f>
        <v/>
      </c>
      <c r="H40" s="6" t="inlineStr">
        <is>
          <t>D (obligatoire) : motorcycle</t>
        </is>
      </c>
      <c r="I40" s="6" t="inlineStr">
        <is>
          <t>oui</t>
        </is>
      </c>
      <c r="J40" s="6" t="n">
        <v>32</v>
      </c>
      <c r="K40" s="6" t="n">
        <v>32</v>
      </c>
      <c r="L40" s="6" t="n">
        <v>0</v>
      </c>
      <c r="M40" s="6" t="inlineStr">
        <is>
          <t>#19 Vehicle(s) changing lanes, same direction, #20 Vehicle(s) drifting, same direction</t>
        </is>
      </c>
      <c r="N40" s="6" t="inlineStr">
        <is>
          <t>H1</t>
        </is>
      </c>
      <c r="O40" s="6" t="inlineStr">
        <is>
          <t>TC-CRAWL-200, TC-CRAWL-201</t>
        </is>
      </c>
      <c r="P40" s="6" t="inlineStr">
        <is>
          <t>TORC-SYSRQ-14123, TORC-TXT-14209, TORC-SYSRQ-10197, TORC-SYSRQ-10640, TORC-SYSRQ-13836, TORC-SYSRQ-10651, TORC-SYSRQ-13830, TORC-SYSRQ-10628, TORC-SYSRQ-14128</t>
        </is>
      </c>
      <c r="Q40" s="6" t="inlineStr">
        <is>
          <t>oui</t>
        </is>
      </c>
      <c r="R40" s="6" t="inlineStr">
        <is>
          <t>SERYTI Lane Change library v0</t>
        </is>
      </c>
      <c r="S40" s="6" t="inlineStr">
        <is>
          <t>PROPOSED</t>
        </is>
      </c>
      <c r="T40" s="6" t="inlineStr"/>
      <c r="U40" s="6" t="inlineStr"/>
    </row>
    <row r="41">
      <c r="A41" s="6" t="inlineStr">
        <is>
          <t>LC-TGT-07</t>
        </is>
      </c>
      <c r="B41" s="6" t="inlineStr">
        <is>
          <t>LC-TGT</t>
        </is>
      </c>
      <c r="C41" s="6" t="inlineStr">
        <is>
          <t>lane change next to large or unstable vehicle</t>
        </is>
      </c>
      <c r="D41" s="6" t="inlineStr">
        <is>
          <t>Target lane contains a wide load or a truck with a swaying trailer next to the gap.</t>
        </is>
      </c>
      <c r="E41" s="6" t="inlineStr">
        <is>
          <t>Highway</t>
        </is>
      </c>
      <c r="F41" s="6" t="inlineStr">
        <is>
          <t>HW-LC, HW-CRU, HW-FOL</t>
        </is>
      </c>
      <c r="G41" s="6">
        <f>IF(F41="",0,LEN(F41)-LEN(SUBSTITUTE(F41,",",""))+1)</f>
        <v/>
      </c>
      <c r="H41" s="6" t="inlineStr">
        <is>
          <t>B (obligatoire) : wide_load, tractor_trailer
D (optionnel) : car</t>
        </is>
      </c>
      <c r="I41" s="6" t="inlineStr">
        <is>
          <t>oui</t>
        </is>
      </c>
      <c r="J41" s="6" t="n">
        <v>192</v>
      </c>
      <c r="K41" s="6" t="n">
        <v>144</v>
      </c>
      <c r="L41" s="6" t="n">
        <v>48</v>
      </c>
      <c r="M41" s="6" t="inlineStr">
        <is>
          <t>#20 Vehicle(s) drifting, same direction</t>
        </is>
      </c>
      <c r="N41" s="6" t="inlineStr">
        <is>
          <t>H1</t>
        </is>
      </c>
      <c r="O41" s="6" t="inlineStr">
        <is>
          <t>TC-CRAWL-187, TC-CRAWL-188, TC-CRAWL-189, TC-CRAWL-192, TC-CRAWL-191</t>
        </is>
      </c>
      <c r="P41" s="6" t="inlineStr">
        <is>
          <t>TORC-SYSRQ-14123, TORC-TXT-14209, TORC-SYSRQ-10197, TORC-SYSRQ-10640, TORC-SYSRQ-13836, TORC-SYSRQ-10651, TORC-SYSRQ-13830, TORC-SYSRQ-10628, TORC-SYSRQ-14128</t>
        </is>
      </c>
      <c r="Q41" s="6" t="inlineStr">
        <is>
          <t>non</t>
        </is>
      </c>
      <c r="R41" s="6" t="inlineStr">
        <is>
          <t>SERYTI Lane Change library v0</t>
        </is>
      </c>
      <c r="S41" s="6" t="inlineStr">
        <is>
          <t>PROPOSED</t>
        </is>
      </c>
      <c r="T41" s="6" t="inlineStr"/>
      <c r="U41" s="6" t="inlineStr"/>
    </row>
    <row r="42">
      <c r="A42" s="6" t="inlineStr">
        <is>
          <t>LC-CUR-01</t>
        </is>
      </c>
      <c r="B42" s="6" t="inlineStr">
        <is>
          <t>LC-CUR</t>
        </is>
      </c>
      <c r="C42" s="6" t="inlineStr">
        <is>
          <t>lane change with origin lead braking</t>
        </is>
      </c>
      <c r="D42" s="6" t="inlineStr">
        <is>
          <t>A brakes while SDT is preparing or executing the lane change.</t>
        </is>
      </c>
      <c r="E42" s="6" t="inlineStr">
        <is>
          <t>Highway, Urban</t>
        </is>
      </c>
      <c r="F42" s="6" t="inlineStr">
        <is>
          <t>HW-LC, URB-LC</t>
        </is>
      </c>
      <c r="G42" s="6">
        <f>IF(F42="",0,LEN(F42)-LEN(SUBSTITUTE(F42,",",""))+1)</f>
        <v/>
      </c>
      <c r="H42" s="6" t="inlineStr">
        <is>
          <t>A (obligatoire) : car, tractor_trailer · brake
B (optionnel) : car
D (optionnel) : car</t>
        </is>
      </c>
      <c r="I42" s="6" t="inlineStr">
        <is>
          <t>oui</t>
        </is>
      </c>
      <c r="J42" s="6" t="n">
        <v>384</v>
      </c>
      <c r="K42" s="6" t="n">
        <v>384</v>
      </c>
      <c r="L42" s="6" t="n">
        <v>0</v>
      </c>
      <c r="M42" s="6" t="inlineStr">
        <is>
          <t>#26 Lead vehicle decelerating</t>
        </is>
      </c>
      <c r="N42" s="6" t="inlineStr">
        <is>
          <t>H1, H2, H3, H4</t>
        </is>
      </c>
      <c r="O42" s="6" t="inlineStr">
        <is>
          <t>TC-CRAWL-185, TC-CRAWL-174, TC-CRAWL-039</t>
        </is>
      </c>
      <c r="P42" s="6" t="inlineStr">
        <is>
          <t>TORC-SYSRQ-14123, TORC-TXT-14209, TORC-SYSRQ-10197, TORC-SYSRQ-10640, TORC-SYSRQ-13836, TORC-SYSRQ-10651, TORC-SYSRQ-13830, TORC-SYSRQ-10628, TORC-SYSRQ-13835</t>
        </is>
      </c>
      <c r="Q42" s="6" t="inlineStr">
        <is>
          <t>non</t>
        </is>
      </c>
      <c r="R42" s="6" t="inlineStr">
        <is>
          <t>SERYTI Lane Change library v0</t>
        </is>
      </c>
      <c r="S42" s="6" t="inlineStr">
        <is>
          <t>PROPOSED</t>
        </is>
      </c>
      <c r="T42" s="6" t="inlineStr"/>
      <c r="U42" s="6" t="inlineStr"/>
    </row>
    <row r="43">
      <c r="A43" s="6" t="inlineStr">
        <is>
          <t>LC-CUR-02</t>
        </is>
      </c>
      <c r="B43" s="6" t="inlineStr">
        <is>
          <t>LC-CUR</t>
        </is>
      </c>
      <c r="C43" s="6" t="inlineStr">
        <is>
          <t>evasive lane change after lead cut out</t>
        </is>
      </c>
      <c r="D43" s="6" t="inlineStr">
        <is>
          <t>A cuts out and reveals a stopped vehicle or obstacle in the origin lane; SDT must change lane or stop.</t>
        </is>
      </c>
      <c r="E43" s="6" t="inlineStr">
        <is>
          <t>Highway</t>
        </is>
      </c>
      <c r="F43" s="6" t="inlineStr">
        <is>
          <t>HW-LC, HW-FOL, HW-ESL, HW-ELM, HW-CRU</t>
        </is>
      </c>
      <c r="G43" s="6">
        <f>IF(F43="",0,LEN(F43)-LEN(SUBSTITUTE(F43,",",""))+1)</f>
        <v/>
      </c>
      <c r="H43" s="6" t="inlineStr">
        <is>
          <t>A (obligatoire) : car, tractor_trailer · cut_out
O (obligatoire) : stopped_vehicle, lost_cargo
D (optionnel) : car</t>
        </is>
      </c>
      <c r="I43" s="6" t="inlineStr">
        <is>
          <t>oui</t>
        </is>
      </c>
      <c r="J43" s="6" t="n">
        <v>240</v>
      </c>
      <c r="K43" s="6" t="n">
        <v>240</v>
      </c>
      <c r="L43" s="6" t="n">
        <v>0</v>
      </c>
      <c r="M43" s="6" t="inlineStr">
        <is>
          <t>#27 Lead vehicle stopped, #33 Evasive action with prior vehicle maneuver</t>
        </is>
      </c>
      <c r="N43" s="6" t="inlineStr">
        <is>
          <t>H1, H2, H3, H4</t>
        </is>
      </c>
      <c r="O43" s="6" t="inlineStr">
        <is>
          <t>TC-CRAWL-182, TC-CRAWL-186, TC-CRAWL-210, TC-CRAWL-174</t>
        </is>
      </c>
      <c r="P43" s="6" t="inlineStr">
        <is>
          <t>TORC-SYSRQ-14123, TORC-TXT-14209, TORC-SYSRQ-10197, TORC-SYSRQ-10640, TORC-SYSRQ-13836, TORC-SYSRQ-10651, TORC-SYSRQ-13830, TORC-SYSRQ-10628</t>
        </is>
      </c>
      <c r="Q43" s="6" t="inlineStr">
        <is>
          <t>non</t>
        </is>
      </c>
      <c r="R43" s="6" t="inlineStr">
        <is>
          <t>SERYTI Lane Change library v0</t>
        </is>
      </c>
      <c r="S43" s="6" t="inlineStr">
        <is>
          <t>PROPOSED</t>
        </is>
      </c>
      <c r="T43" s="6" t="inlineStr"/>
      <c r="U43" s="6" t="inlineStr">
        <is>
          <t>§5 Cut out (couvert)</t>
        </is>
      </c>
    </row>
    <row r="44">
      <c r="A44" s="6" t="inlineStr">
        <is>
          <t>LC-CUR-03</t>
        </is>
      </c>
      <c r="B44" s="6" t="inlineStr">
        <is>
          <t>LC-CUR</t>
        </is>
      </c>
      <c r="C44" s="6" t="inlineStr">
        <is>
          <t>lane change with tailgating follower</t>
        </is>
      </c>
      <c r="D44" s="6" t="inlineStr">
        <is>
          <t>C follows very close behind SDT in the origin lane while SDT prepares a lane change that needs speed adjustment.</t>
        </is>
      </c>
      <c r="E44" s="6" t="inlineStr">
        <is>
          <t>Highway</t>
        </is>
      </c>
      <c r="F44" s="6" t="inlineStr">
        <is>
          <t>HW-LC</t>
        </is>
      </c>
      <c r="G44" s="6">
        <f>IF(F44="",0,LEN(F44)-LEN(SUBSTITUTE(F44,",",""))+1)</f>
        <v/>
      </c>
      <c r="H44" s="6" t="inlineStr">
        <is>
          <t>C (obligatoire) : car, pickup
B (obligatoire) : car
D (obligatoire) : car</t>
        </is>
      </c>
      <c r="I44" s="6" t="inlineStr">
        <is>
          <t>oui</t>
        </is>
      </c>
      <c r="J44" s="6" t="n">
        <v>96</v>
      </c>
      <c r="K44" s="6" t="n">
        <v>96</v>
      </c>
      <c r="L44" s="6" t="n">
        <v>0</v>
      </c>
      <c r="M44" s="6" t="inlineStr">
        <is>
          <t>#23 Following vehicle making a maneuver</t>
        </is>
      </c>
      <c r="N44" s="6" t="inlineStr">
        <is>
          <t>H1, H2, H3, H4</t>
        </is>
      </c>
      <c r="O44" s="6" t="inlineStr">
        <is>
          <t>TC-CRAWL-176, TC-CRAWL-273, TC-CRAWL-274</t>
        </is>
      </c>
      <c r="P44" s="6" t="inlineStr">
        <is>
          <t>TORC-SYSRQ-14123, TORC-TXT-14209, TORC-SYSRQ-10197, TORC-SYSRQ-10640, TORC-SYSRQ-13836, TORC-SYSRQ-10651, TORC-SYSRQ-13830, TORC-SYSRQ-10628</t>
        </is>
      </c>
      <c r="Q44" s="6" t="inlineStr">
        <is>
          <t>non</t>
        </is>
      </c>
      <c r="R44" s="6" t="inlineStr">
        <is>
          <t>SERYTI Lane Change library v0</t>
        </is>
      </c>
      <c r="S44" s="6" t="inlineStr">
        <is>
          <t>PROPOSED</t>
        </is>
      </c>
      <c r="T44" s="6" t="inlineStr"/>
      <c r="U44" s="6" t="inlineStr"/>
    </row>
    <row r="45">
      <c r="A45" s="6" t="inlineStr">
        <is>
          <t>RMP-01</t>
        </is>
      </c>
      <c r="B45" s="6" t="inlineStr">
        <is>
          <t>RMP</t>
        </is>
      </c>
      <c r="C45" s="6" t="inlineStr">
        <is>
          <t>Insertion : gap accepté en fin de voie d'accélération</t>
        </is>
      </c>
      <c r="D45" s="6" t="inlineStr">
        <is>
          <t>Le SDT est sur la voie d'accélération et doit trouver un gap dans la voie de droite.</t>
        </is>
      </c>
      <c r="E45" s="6" t="inlineStr">
        <is>
          <t>Highway</t>
        </is>
      </c>
      <c r="F45" s="6" t="inlineStr">
        <is>
          <t>HW-ONR</t>
        </is>
      </c>
      <c r="G45" s="6">
        <f>IF(F45="",0,LEN(F45)-LEN(SUBSTITUTE(F45,",",""))+1)</f>
        <v/>
      </c>
      <c r="H45" s="6" t="inlineStr">
        <is>
          <t>B (optionnel) : car, tractor_trailer
D (optionnel) : car, tractor_trailer</t>
        </is>
      </c>
      <c r="I45" s="6" t="inlineStr">
        <is>
          <t>oui</t>
        </is>
      </c>
      <c r="J45" s="6" t="n">
        <v>1392</v>
      </c>
      <c r="K45" s="6" t="n">
        <v>1392</v>
      </c>
      <c r="L45" s="6" t="n">
        <v>0</v>
      </c>
      <c r="M45" s="6" t="inlineStr">
        <is>
          <t>#19 Vehicle(s) changing lanes, same direction</t>
        </is>
      </c>
      <c r="N45" s="6" t="inlineStr">
        <is>
          <t>H1, H3</t>
        </is>
      </c>
      <c r="O45" s="6" t="inlineStr">
        <is>
          <t>TC-CRAWL-099, TC-CRAWL-100</t>
        </is>
      </c>
      <c r="P45" s="6" t="inlineStr">
        <is>
          <t>TORC-SYSRQ-14124, TORC-SYSRQ-13836</t>
        </is>
      </c>
      <c r="Q45" s="6" t="inlineStr">
        <is>
          <t>non</t>
        </is>
      </c>
      <c r="R45" s="6" t="inlineStr">
        <is>
          <t>SERYTI catalogue v1 (PROPOSED)</t>
        </is>
      </c>
      <c r="S45" s="6" t="inlineStr">
        <is>
          <t>PROPOSED</t>
        </is>
      </c>
      <c r="T45" s="6" t="inlineStr"/>
      <c r="U45" s="6" t="inlineStr">
        <is>
          <t>§4.1.1 DUT merges at highway entry (partiel)</t>
        </is>
      </c>
    </row>
    <row r="46">
      <c r="A46" s="6" t="inlineStr">
        <is>
          <t>RMP-02</t>
        </is>
      </c>
      <c r="B46" s="6" t="inlineStr">
        <is>
          <t>RMP</t>
        </is>
      </c>
      <c r="C46" s="6" t="inlineStr">
        <is>
          <t>Insertion : voie d'accélération courte</t>
        </is>
      </c>
      <c r="D46" s="6" t="inlineStr">
        <is>
          <t>La voie d'accélération est trop courte pour atteindre la vitesse du flux.</t>
        </is>
      </c>
      <c r="E46" s="6" t="inlineStr">
        <is>
          <t>Highway</t>
        </is>
      </c>
      <c r="F46" s="6" t="inlineStr">
        <is>
          <t>HW-ONR</t>
        </is>
      </c>
      <c r="G46" s="6">
        <f>IF(F46="",0,LEN(F46)-LEN(SUBSTITUTE(F46,",",""))+1)</f>
        <v/>
      </c>
      <c r="H46" s="6" t="inlineStr">
        <is>
          <t>D (optionnel) : car</t>
        </is>
      </c>
      <c r="I46" s="6" t="inlineStr">
        <is>
          <t>oui</t>
        </is>
      </c>
      <c r="J46" s="6" t="n">
        <v>24</v>
      </c>
      <c r="K46" s="6" t="n">
        <v>24</v>
      </c>
      <c r="L46" s="6" t="n">
        <v>0</v>
      </c>
      <c r="M46" s="6" t="inlineStr">
        <is>
          <t>#19 Vehicle(s) changing lanes, same direction</t>
        </is>
      </c>
      <c r="N46" s="6" t="inlineStr">
        <is>
          <t>H1, H3</t>
        </is>
      </c>
      <c r="O46" s="6" t="inlineStr">
        <is>
          <t>TC-CRAWL-099</t>
        </is>
      </c>
      <c r="P46" s="6" t="inlineStr">
        <is>
          <t>TORC-SYSRQ-14124</t>
        </is>
      </c>
      <c r="Q46" s="6" t="inlineStr">
        <is>
          <t>non</t>
        </is>
      </c>
      <c r="R46" s="6" t="inlineStr">
        <is>
          <t>SERYTI catalogue v1 (PROPOSED)</t>
        </is>
      </c>
      <c r="S46" s="6" t="inlineStr">
        <is>
          <t>PROPOSED</t>
        </is>
      </c>
      <c r="T46" s="6" t="inlineStr"/>
      <c r="U46" s="6" t="inlineStr"/>
    </row>
    <row r="47">
      <c r="A47" s="6" t="inlineStr">
        <is>
          <t>RMP-03</t>
        </is>
      </c>
      <c r="B47" s="6" t="inlineStr">
        <is>
          <t>RMP</t>
        </is>
      </c>
      <c r="C47" s="6" t="inlineStr">
        <is>
          <t>Insertion : voie principale saturée</t>
        </is>
      </c>
      <c r="D47" s="6" t="inlineStr">
        <is>
          <t>Pas de gap : le SDT doit s'arrêter ou attendre en fin de voie d'accélération (sortie « merge aborted » de SYSRQ-14124).</t>
        </is>
      </c>
      <c r="E47" s="6" t="inlineStr">
        <is>
          <t>Highway</t>
        </is>
      </c>
      <c r="F47" s="6" t="inlineStr">
        <is>
          <t>HW-ONR</t>
        </is>
      </c>
      <c r="G47" s="6">
        <f>IF(F47="",0,LEN(F47)-LEN(SUBSTITUTE(F47,",",""))+1)</f>
        <v/>
      </c>
      <c r="H47" s="6" t="inlineStr">
        <is>
          <t>B (obligatoire) : car, tractor_trailer
D (obligatoire) : car, tractor_trailer</t>
        </is>
      </c>
      <c r="I47" s="6" t="inlineStr">
        <is>
          <t>oui</t>
        </is>
      </c>
      <c r="J47" s="6" t="n">
        <v>512</v>
      </c>
      <c r="K47" s="6" t="n">
        <v>512</v>
      </c>
      <c r="L47" s="6" t="n">
        <v>0</v>
      </c>
      <c r="M47" s="6" t="inlineStr"/>
      <c r="N47" s="6" t="inlineStr">
        <is>
          <t>H1, H3</t>
        </is>
      </c>
      <c r="O47" s="6" t="inlineStr">
        <is>
          <t>TC-CRAWL-173</t>
        </is>
      </c>
      <c r="P47" s="6" t="inlineStr">
        <is>
          <t>TORC-SYSRQ-14124</t>
        </is>
      </c>
      <c r="Q47" s="6" t="inlineStr">
        <is>
          <t>non</t>
        </is>
      </c>
      <c r="R47" s="6" t="inlineStr">
        <is>
          <t>SERYTI catalogue v1 (PROPOSED)</t>
        </is>
      </c>
      <c r="S47" s="6" t="inlineStr">
        <is>
          <t>PROPOSED</t>
        </is>
      </c>
      <c r="T47" s="6" t="inlineStr"/>
      <c r="U47" s="6" t="inlineStr"/>
    </row>
    <row r="48">
      <c r="A48" s="6" t="inlineStr">
        <is>
          <t>RMP-04</t>
        </is>
      </c>
      <c r="B48" s="6" t="inlineStr">
        <is>
          <t>RMP</t>
        </is>
      </c>
      <c r="C48" s="6" t="inlineStr">
        <is>
          <t>Insertion : véhicule lent ou arrêté devant sur la bretelle</t>
        </is>
      </c>
      <c r="D48" s="6" t="inlineStr">
        <is>
          <t>Le véhicule devant sur la voie d'accélération hésite ou s'arrête.</t>
        </is>
      </c>
      <c r="E48" s="6" t="inlineStr">
        <is>
          <t>Highway</t>
        </is>
      </c>
      <c r="F48" s="6" t="inlineStr">
        <is>
          <t>HW-ONR</t>
        </is>
      </c>
      <c r="G48" s="6">
        <f>IF(F48="",0,LEN(F48)-LEN(SUBSTITUTE(F48,",",""))+1)</f>
        <v/>
      </c>
      <c r="H48" s="6" t="inlineStr">
        <is>
          <t>A (obligatoire) : car</t>
        </is>
      </c>
      <c r="I48" s="6" t="inlineStr">
        <is>
          <t>oui</t>
        </is>
      </c>
      <c r="J48" s="6" t="n">
        <v>16</v>
      </c>
      <c r="K48" s="6" t="n">
        <v>16</v>
      </c>
      <c r="L48" s="6" t="n">
        <v>0</v>
      </c>
      <c r="M48" s="6" t="inlineStr">
        <is>
          <t>#27 Lead vehicle stopped</t>
        </is>
      </c>
      <c r="N48" s="6" t="inlineStr">
        <is>
          <t>H2</t>
        </is>
      </c>
      <c r="O48" s="6" t="inlineStr"/>
      <c r="P48" s="6" t="inlineStr">
        <is>
          <t>TORC-SYSRQ-14124</t>
        </is>
      </c>
      <c r="Q48" s="6" t="inlineStr">
        <is>
          <t>non</t>
        </is>
      </c>
      <c r="R48" s="6" t="inlineStr">
        <is>
          <t>SERYTI catalogue v1 (PROPOSED)</t>
        </is>
      </c>
      <c r="S48" s="6" t="inlineStr">
        <is>
          <t>PROPOSED</t>
        </is>
      </c>
      <c r="T48" s="6" t="inlineStr"/>
      <c r="U48" s="6" t="inlineStr"/>
    </row>
    <row r="49">
      <c r="A49" s="6" t="inlineStr">
        <is>
          <t>RMP-05</t>
        </is>
      </c>
      <c r="B49" s="6" t="inlineStr">
        <is>
          <t>RMP</t>
        </is>
      </c>
      <c r="C49" s="6" t="inlineStr">
        <is>
          <t>Insertion : un véhicule de la voie principale se décale</t>
        </is>
      </c>
      <c r="D49" s="6" t="inlineStr">
        <is>
          <t>Un véhicule de la voie de droite passe à gauche pour laisser entrer le SDT.</t>
        </is>
      </c>
      <c r="E49" s="6" t="inlineStr">
        <is>
          <t>Highway</t>
        </is>
      </c>
      <c r="F49" s="6" t="inlineStr">
        <is>
          <t>HW-ONR</t>
        </is>
      </c>
      <c r="G49" s="6">
        <f>IF(F49="",0,LEN(F49)-LEN(SUBSTITUTE(F49,",",""))+1)</f>
        <v/>
      </c>
      <c r="H49" s="6" t="inlineStr">
        <is>
          <t>B (obligatoire) : car · cut_out</t>
        </is>
      </c>
      <c r="I49" s="6" t="inlineStr">
        <is>
          <t>oui</t>
        </is>
      </c>
      <c r="J49" s="6" t="n">
        <v>16</v>
      </c>
      <c r="K49" s="6" t="n">
        <v>16</v>
      </c>
      <c r="L49" s="6" t="n">
        <v>0</v>
      </c>
      <c r="M49" s="6" t="inlineStr"/>
      <c r="N49" s="6" t="inlineStr">
        <is>
          <t>H1</t>
        </is>
      </c>
      <c r="O49" s="6" t="inlineStr"/>
      <c r="P49" s="6" t="inlineStr">
        <is>
          <t>TORC-SYSRQ-14124</t>
        </is>
      </c>
      <c r="Q49" s="6" t="inlineStr">
        <is>
          <t>non</t>
        </is>
      </c>
      <c r="R49" s="6" t="inlineStr">
        <is>
          <t>SERYTI catalogue v1 (PROPOSED)</t>
        </is>
      </c>
      <c r="S49" s="6" t="inlineStr">
        <is>
          <t>PROPOSED</t>
        </is>
      </c>
      <c r="T49" s="6" t="inlineStr"/>
      <c r="U49" s="6" t="inlineStr">
        <is>
          <t>§5 Cut out (partiel)</t>
        </is>
      </c>
    </row>
    <row r="50">
      <c r="A50" s="6" t="inlineStr">
        <is>
          <t>RMP-06</t>
        </is>
      </c>
      <c r="B50" s="6" t="inlineStr">
        <is>
          <t>RMP</t>
        </is>
      </c>
      <c r="C50" s="6" t="inlineStr">
        <is>
          <t>Sortie : file d'attente sur la bretelle</t>
        </is>
      </c>
      <c r="D50" s="6" t="inlineStr">
        <is>
          <t>Une file remonte de la bretelle de sortie jusqu'à la voie de décélération.</t>
        </is>
      </c>
      <c r="E50" s="6" t="inlineStr">
        <is>
          <t>Highway</t>
        </is>
      </c>
      <c r="F50" s="6" t="inlineStr">
        <is>
          <t>HW-OFR, HW-FOL</t>
        </is>
      </c>
      <c r="G50" s="6">
        <f>IF(F50="",0,LEN(F50)-LEN(SUBSTITUTE(F50,",",""))+1)</f>
        <v/>
      </c>
      <c r="H50" s="6" t="inlineStr">
        <is>
          <t>A (obligatoire) : car, tractor_trailer</t>
        </is>
      </c>
      <c r="I50" s="6" t="inlineStr">
        <is>
          <t>oui</t>
        </is>
      </c>
      <c r="J50" s="6" t="n">
        <v>96</v>
      </c>
      <c r="K50" s="6" t="n">
        <v>96</v>
      </c>
      <c r="L50" s="6" t="n">
        <v>0</v>
      </c>
      <c r="M50" s="6" t="inlineStr">
        <is>
          <t>#27 Lead vehicle stopped</t>
        </is>
      </c>
      <c r="N50" s="6" t="inlineStr">
        <is>
          <t>H2</t>
        </is>
      </c>
      <c r="O50" s="6" t="inlineStr">
        <is>
          <t>TC-CRAWL-180</t>
        </is>
      </c>
      <c r="P50" s="6" t="inlineStr">
        <is>
          <t>TORC-SYSRQ-14125</t>
        </is>
      </c>
      <c r="Q50" s="6" t="inlineStr">
        <is>
          <t>non</t>
        </is>
      </c>
      <c r="R50" s="6" t="inlineStr">
        <is>
          <t>SERYTI catalogue v1 (PROPOSED)</t>
        </is>
      </c>
      <c r="S50" s="6" t="inlineStr">
        <is>
          <t>PROPOSED</t>
        </is>
      </c>
      <c r="T50" s="6" t="inlineStr"/>
      <c r="U50" s="6" t="inlineStr"/>
    </row>
    <row r="51">
      <c r="A51" s="6" t="inlineStr">
        <is>
          <t>RMP-07</t>
        </is>
      </c>
      <c r="B51" s="6" t="inlineStr">
        <is>
          <t>RMP</t>
        </is>
      </c>
      <c r="C51" s="6" t="inlineStr">
        <is>
          <t>Sortie manquée faute de gap</t>
        </is>
      </c>
      <c r="D51" s="6" t="inlineStr">
        <is>
          <t>Trafic dense dans la voie de sortie : le SDT ne peut pas l'atteindre et doit recalculer son itinéraire (sortie de SYSRQ-14125).</t>
        </is>
      </c>
      <c r="E51" s="6" t="inlineStr">
        <is>
          <t>Highway</t>
        </is>
      </c>
      <c r="F51" s="6" t="inlineStr">
        <is>
          <t>HW-OFR</t>
        </is>
      </c>
      <c r="G51" s="6">
        <f>IF(F51="",0,LEN(F51)-LEN(SUBSTITUTE(F51,",",""))+1)</f>
        <v/>
      </c>
      <c r="H51" s="6" t="inlineStr">
        <is>
          <t>B (obligatoire) : car, tractor_trailer
D (obligatoire) : car, tractor_trailer</t>
        </is>
      </c>
      <c r="I51" s="6" t="inlineStr">
        <is>
          <t>oui</t>
        </is>
      </c>
      <c r="J51" s="6" t="n">
        <v>256</v>
      </c>
      <c r="K51" s="6" t="n">
        <v>256</v>
      </c>
      <c r="L51" s="6" t="n">
        <v>0</v>
      </c>
      <c r="M51" s="6" t="inlineStr"/>
      <c r="N51" s="6" t="inlineStr">
        <is>
          <t>H1, H3</t>
        </is>
      </c>
      <c r="O51" s="6" t="inlineStr"/>
      <c r="P51" s="6" t="inlineStr">
        <is>
          <t>TORC-SYSRQ-14125</t>
        </is>
      </c>
      <c r="Q51" s="6" t="inlineStr">
        <is>
          <t>non</t>
        </is>
      </c>
      <c r="R51" s="6" t="inlineStr">
        <is>
          <t>SERYTI catalogue v1 (PROPOSED)</t>
        </is>
      </c>
      <c r="S51" s="6" t="inlineStr">
        <is>
          <t>PROPOSED</t>
        </is>
      </c>
      <c r="T51" s="6" t="inlineStr"/>
      <c r="U51" s="6" t="inlineStr"/>
    </row>
    <row r="52">
      <c r="A52" s="6" t="inlineStr">
        <is>
          <t>RMP-08</t>
        </is>
      </c>
      <c r="B52" s="6" t="inlineStr">
        <is>
          <t>RMP</t>
        </is>
      </c>
      <c r="C52" s="6" t="inlineStr">
        <is>
          <t>Sortie : virage serré de la bretelle</t>
        </is>
      </c>
      <c r="D52" s="6" t="inlineStr">
        <is>
          <t>La bretelle a un rayon faible : vitesse à adapter avant le virage.</t>
        </is>
      </c>
      <c r="E52" s="6" t="inlineStr">
        <is>
          <t>Highway</t>
        </is>
      </c>
      <c r="F52" s="6" t="inlineStr">
        <is>
          <t>HW-OFR</t>
        </is>
      </c>
      <c r="G52" s="6">
        <f>IF(F52="",0,LEN(F52)-LEN(SUBSTITUTE(F52,",",""))+1)</f>
        <v/>
      </c>
      <c r="H52" s="6" t="inlineStr">
        <is>
          <t>aucun (SDT seul)</t>
        </is>
      </c>
      <c r="I52" s="6" t="inlineStr">
        <is>
          <t>oui</t>
        </is>
      </c>
      <c r="J52" s="6" t="n">
        <v>36</v>
      </c>
      <c r="K52" s="6" t="n">
        <v>4</v>
      </c>
      <c r="L52" s="6" t="n">
        <v>32</v>
      </c>
      <c r="M52" s="6" t="inlineStr">
        <is>
          <t>#4 Control loss without prior vehicle action, #8 Road edge departure without prior vehicle maneuver</t>
        </is>
      </c>
      <c r="N52" s="6" t="inlineStr">
        <is>
          <t>H5</t>
        </is>
      </c>
      <c r="O52" s="6" t="inlineStr">
        <is>
          <t>TC-CRAWL-098, TC-CRAWL-129</t>
        </is>
      </c>
      <c r="P52" s="6" t="inlineStr">
        <is>
          <t>TORC-SYSRQ-14120, TORC-SYSRQ-14121, TORC-SYSRQ-10172</t>
        </is>
      </c>
      <c r="Q52" s="6" t="inlineStr">
        <is>
          <t>non</t>
        </is>
      </c>
      <c r="R52" s="6" t="inlineStr">
        <is>
          <t>SERYTI catalogue v1 (PROPOSED)</t>
        </is>
      </c>
      <c r="S52" s="6" t="inlineStr">
        <is>
          <t>PROPOSED</t>
        </is>
      </c>
      <c r="T52" s="6" t="inlineStr"/>
      <c r="U52" s="6" t="inlineStr">
        <is>
          <t>§9 To side on curve (partiel)</t>
        </is>
      </c>
    </row>
    <row r="53">
      <c r="A53" s="6" t="inlineStr">
        <is>
          <t>RMP-09</t>
        </is>
      </c>
      <c r="B53" s="6" t="inlineStr">
        <is>
          <t>RMP</t>
        </is>
      </c>
      <c r="C53" s="6" t="inlineStr">
        <is>
          <t>Véhicule qui coupe le musoir au dernier moment</t>
        </is>
      </c>
      <c r="D53" s="6" t="inlineStr">
        <is>
          <t>Un véhicule traverse la voie du SDT pour attraper la sortie.</t>
        </is>
      </c>
      <c r="E53" s="6" t="inlineStr">
        <is>
          <t>Highway</t>
        </is>
      </c>
      <c r="F53" s="6" t="inlineStr">
        <is>
          <t>HW-OFR, HW-CRU, HW-FOL</t>
        </is>
      </c>
      <c r="G53" s="6">
        <f>IF(F53="",0,LEN(F53)-LEN(SUBSTITUTE(F53,",",""))+1)</f>
        <v/>
      </c>
      <c r="H53" s="6" t="inlineStr">
        <is>
          <t>B (obligatoire) : car, pickup · cut_in</t>
        </is>
      </c>
      <c r="I53" s="6" t="inlineStr">
        <is>
          <t>oui</t>
        </is>
      </c>
      <c r="J53" s="6" t="n">
        <v>192</v>
      </c>
      <c r="K53" s="6" t="n">
        <v>192</v>
      </c>
      <c r="L53" s="6" t="n">
        <v>0</v>
      </c>
      <c r="M53" s="6" t="inlineStr">
        <is>
          <t>#19 Vehicle(s) changing lanes, same direction</t>
        </is>
      </c>
      <c r="N53" s="6" t="inlineStr">
        <is>
          <t>H2</t>
        </is>
      </c>
      <c r="O53" s="6" t="inlineStr">
        <is>
          <t>TC-CRAWL-102, TC-CRAWL-146</t>
        </is>
      </c>
      <c r="P53" s="6" t="inlineStr"/>
      <c r="Q53" s="6" t="inlineStr">
        <is>
          <t>non</t>
        </is>
      </c>
      <c r="R53" s="6" t="inlineStr">
        <is>
          <t>SERYTI catalogue v1 (PROPOSED)</t>
        </is>
      </c>
      <c r="S53" s="6" t="inlineStr">
        <is>
          <t>PROPOSED</t>
        </is>
      </c>
      <c r="T53" s="6" t="inlineStr"/>
      <c r="U53" s="6" t="inlineStr">
        <is>
          <t>§2 Cut in (partiel)</t>
        </is>
      </c>
    </row>
    <row r="54">
      <c r="A54" s="6" t="inlineStr">
        <is>
          <t>RMP-10</t>
        </is>
      </c>
      <c r="B54" s="6" t="inlineStr">
        <is>
          <t>RMP</t>
        </is>
      </c>
      <c r="C54" s="6" t="inlineStr">
        <is>
          <t>Sortie : rampe en marche arrière ou véhicule qui recule</t>
        </is>
      </c>
      <c r="D54" s="6" t="inlineStr">
        <is>
          <t>Un véhicule recule sur la bretelle ou l'accotement.</t>
        </is>
      </c>
      <c r="E54" s="6" t="inlineStr">
        <is>
          <t>Highway</t>
        </is>
      </c>
      <c r="F54" s="6" t="inlineStr">
        <is>
          <t>HW-OFR, HW-CSS</t>
        </is>
      </c>
      <c r="G54" s="6">
        <f>IF(F54="",0,LEN(F54)-LEN(SUBSTITUTE(F54,",",""))+1)</f>
        <v/>
      </c>
      <c r="H54" s="6" t="inlineStr"/>
      <c r="I54" s="6" t="inlineStr">
        <is>
          <t>jalon 2</t>
        </is>
      </c>
      <c r="J54" s="6" t="n"/>
      <c r="K54" s="6" t="n"/>
      <c r="L54" s="6" t="n"/>
      <c r="M54" s="6" t="inlineStr">
        <is>
          <t>#16 Backing up into another vehicle</t>
        </is>
      </c>
      <c r="N54" s="6" t="inlineStr">
        <is>
          <t>H2</t>
        </is>
      </c>
      <c r="O54" s="6" t="inlineStr">
        <is>
          <t>TC-CRAWL-181</t>
        </is>
      </c>
      <c r="P54" s="6" t="inlineStr"/>
      <c r="Q54" s="6" t="inlineStr">
        <is>
          <t>non</t>
        </is>
      </c>
      <c r="R54" s="6" t="inlineStr">
        <is>
          <t>SERYTI catalogue v1 (PROPOSED)</t>
        </is>
      </c>
      <c r="S54" s="6" t="inlineStr">
        <is>
          <t>PROPOSED</t>
        </is>
      </c>
      <c r="T54" s="6" t="inlineStr"/>
      <c r="U54" s="6" t="inlineStr"/>
    </row>
    <row r="55">
      <c r="A55" s="6" t="inlineStr">
        <is>
          <t>RMP-11</t>
        </is>
      </c>
      <c r="B55" s="6" t="inlineStr">
        <is>
          <t>RMP</t>
        </is>
      </c>
      <c r="C55" s="6" t="inlineStr">
        <is>
          <t>Le leader quitte l'autoroute par la sortie</t>
        </is>
      </c>
      <c r="D55" s="6" t="inlineStr">
        <is>
          <t>Le véhicule devant le SDT ralentit et prend la bretelle de sortie à droite ; le SDT continue tout droit (Foretellix « cut-out to highway exit »).</t>
        </is>
      </c>
      <c r="E55" s="6" t="inlineStr">
        <is>
          <t>Highway</t>
        </is>
      </c>
      <c r="F55" s="6" t="inlineStr">
        <is>
          <t>HW-CRU, HW-FOL</t>
        </is>
      </c>
      <c r="G55" s="6">
        <f>IF(F55="",0,LEN(F55)-LEN(SUBSTITUTE(F55,",",""))+1)</f>
        <v/>
      </c>
      <c r="H55" s="6" t="inlineStr">
        <is>
          <t>A (obligatoire) : car, pickup, tractor_trailer · take_exit</t>
        </is>
      </c>
      <c r="I55" s="6" t="inlineStr">
        <is>
          <t>oui</t>
        </is>
      </c>
      <c r="J55" s="6" t="n">
        <v>864</v>
      </c>
      <c r="K55" s="6" t="n">
        <v>864</v>
      </c>
      <c r="L55" s="6" t="n">
        <v>0</v>
      </c>
      <c r="M55" s="6" t="inlineStr">
        <is>
          <t>#26 Lead vehicle decelerating</t>
        </is>
      </c>
      <c r="N55" s="6" t="inlineStr">
        <is>
          <t>H2</t>
        </is>
      </c>
      <c r="O55" s="6" t="inlineStr"/>
      <c r="P55" s="6" t="inlineStr">
        <is>
          <t>TORC-SYSRQ-14122</t>
        </is>
      </c>
      <c r="Q55" s="6" t="inlineStr">
        <is>
          <t>non</t>
        </is>
      </c>
      <c r="R55" s="6" t="inlineStr">
        <is>
          <t>SERYTI catalogue v1 (PROPOSED)</t>
        </is>
      </c>
      <c r="S55" s="6" t="inlineStr">
        <is>
          <t>PROPOSED</t>
        </is>
      </c>
      <c r="T55" s="6" t="inlineStr"/>
      <c r="U55" s="6" t="inlineStr">
        <is>
          <t>§4.1.2 Cut-out to highway exit (couvert)</t>
        </is>
      </c>
    </row>
    <row r="56">
      <c r="A56" s="6" t="inlineStr">
        <is>
          <t>RMP-12</t>
        </is>
      </c>
      <c r="B56" s="6" t="inlineStr">
        <is>
          <t>RMP</t>
        </is>
      </c>
      <c r="C56" s="6" t="inlineStr">
        <is>
          <t>Convoi qui s'insère depuis la bretelle</t>
        </is>
      </c>
      <c r="D56" s="6" t="inlineStr">
        <is>
          <t>Plusieurs véhicules s'insèrent depuis la voie d'accélération devant ou à côté du SDT ; les écarts permettent au SDT de s'aligner dans le convoi (Foretellix « cars merge at highway entry »).</t>
        </is>
      </c>
      <c r="E56" s="6" t="inlineStr">
        <is>
          <t>Highway</t>
        </is>
      </c>
      <c r="F56" s="6" t="inlineStr">
        <is>
          <t>HW-CRU, HW-FOL, HW-LC</t>
        </is>
      </c>
      <c r="G56" s="6">
        <f>IF(F56="",0,LEN(F56)-LEN(SUBSTITUTE(F56,",",""))+1)</f>
        <v/>
      </c>
      <c r="H56" s="6" t="inlineStr">
        <is>
          <t>G (obligatoire) : car, pickup, tractor_trailer · cut_in</t>
        </is>
      </c>
      <c r="I56" s="6" t="inlineStr">
        <is>
          <t>oui</t>
        </is>
      </c>
      <c r="J56" s="6" t="n">
        <v>2592</v>
      </c>
      <c r="K56" s="6" t="n">
        <v>2592</v>
      </c>
      <c r="L56" s="6" t="n">
        <v>0</v>
      </c>
      <c r="M56" s="6" t="inlineStr">
        <is>
          <t>#19 Vehicle(s) changing lanes, same direction</t>
        </is>
      </c>
      <c r="N56" s="6" t="inlineStr">
        <is>
          <t>H1, H2</t>
        </is>
      </c>
      <c r="O56" s="6" t="inlineStr">
        <is>
          <t>TC-CRAWL-052, TC-CRAWL-265</t>
        </is>
      </c>
      <c r="P56" s="6" t="inlineStr">
        <is>
          <t>TORC-SYSRQ-14122</t>
        </is>
      </c>
      <c r="Q56" s="6" t="inlineStr">
        <is>
          <t>non</t>
        </is>
      </c>
      <c r="R56" s="6" t="inlineStr">
        <is>
          <t>SERYTI catalogue v1 (PROPOSED)</t>
        </is>
      </c>
      <c r="S56" s="6" t="inlineStr">
        <is>
          <t>PROPOSED</t>
        </is>
      </c>
      <c r="T56" s="6" t="inlineStr"/>
      <c r="U56" s="6" t="inlineStr">
        <is>
          <t>§4.1.3 Cars merge at highway entry (couvert)</t>
        </is>
      </c>
    </row>
    <row r="57">
      <c r="A57" s="6" t="inlineStr">
        <is>
          <t>RMP-13</t>
        </is>
      </c>
      <c r="B57" s="6" t="inlineStr">
        <is>
          <t>RMP</t>
        </is>
      </c>
      <c r="C57" s="6" t="inlineStr">
        <is>
          <t>Insertion du SDT pendant qu'un véhicule sort par la voie d'accélération</t>
        </is>
      </c>
      <c r="D57" s="6" t="inlineStr">
        <is>
          <t>Le SDT s'insère depuis la bretelle ; un véhicule de la voie de droite traverse la voie d'accélération pour sortir (entrecroisement, Foretellix « DUT merges at highway entry »).</t>
        </is>
      </c>
      <c r="E57" s="6" t="inlineStr">
        <is>
          <t>Highway</t>
        </is>
      </c>
      <c r="F57" s="6" t="inlineStr">
        <is>
          <t>HW-ONR</t>
        </is>
      </c>
      <c r="G57" s="6">
        <f>IF(F57="",0,LEN(F57)-LEN(SUBSTITUTE(F57,",",""))+1)</f>
        <v/>
      </c>
      <c r="H57" s="6" t="inlineStr">
        <is>
          <t>B (obligatoire) : car, pickup, tractor_trailer · cut_in</t>
        </is>
      </c>
      <c r="I57" s="6" t="inlineStr">
        <is>
          <t>oui</t>
        </is>
      </c>
      <c r="J57" s="6" t="n">
        <v>288</v>
      </c>
      <c r="K57" s="6" t="n">
        <v>288</v>
      </c>
      <c r="L57" s="6" t="n">
        <v>0</v>
      </c>
      <c r="M57" s="6" t="inlineStr">
        <is>
          <t>#19 Vehicle(s) changing lanes, same direction</t>
        </is>
      </c>
      <c r="N57" s="6" t="inlineStr">
        <is>
          <t>H1, H2</t>
        </is>
      </c>
      <c r="O57" s="6" t="inlineStr">
        <is>
          <t>TC-CRAWL-099</t>
        </is>
      </c>
      <c r="P57" s="6" t="inlineStr">
        <is>
          <t>TORC-SYSRQ-14124, TORC-SYSRQ-13836</t>
        </is>
      </c>
      <c r="Q57" s="6" t="inlineStr">
        <is>
          <t>non</t>
        </is>
      </c>
      <c r="R57" s="6" t="inlineStr">
        <is>
          <t>SERYTI catalogue v1 (PROPOSED)</t>
        </is>
      </c>
      <c r="S57" s="6" t="inlineStr">
        <is>
          <t>PROPOSED</t>
        </is>
      </c>
      <c r="T57" s="6" t="inlineStr"/>
      <c r="U57" s="6" t="inlineStr">
        <is>
          <t>§4.1.1 DUT merges at highway entry (couvert)</t>
        </is>
      </c>
    </row>
    <row r="58">
      <c r="A58" s="6" t="inlineStr">
        <is>
          <t>RMP-14</t>
        </is>
      </c>
      <c r="B58" s="6" t="inlineStr">
        <is>
          <t>RMP</t>
        </is>
      </c>
      <c r="C58" s="6" t="inlineStr">
        <is>
          <t>Insertion : bretelle d'accès en courbe et en pente</t>
        </is>
      </c>
      <c r="D58" s="6" t="inlineStr">
        <is>
          <t>La bretelle d'accès tourne et monte ou descend avant la voie d'accélération : le SDT doit tenir sa trajectoire et sa vitesse avant de s'insérer (trou révélé par le HIRE v2 : HW On-Ramp Merge, H5 perte de stabilité).</t>
        </is>
      </c>
      <c r="E58" s="6" t="inlineStr">
        <is>
          <t>Highway</t>
        </is>
      </c>
      <c r="F58" s="6" t="inlineStr">
        <is>
          <t>HW-ONR</t>
        </is>
      </c>
      <c r="G58" s="6">
        <f>IF(F58="",0,LEN(F58)-LEN(SUBSTITUTE(F58,",",""))+1)</f>
        <v/>
      </c>
      <c r="H58" s="6" t="inlineStr">
        <is>
          <t>A (optionnel) : car, tractor_trailer
D (optionnel) : car, tractor_trailer</t>
        </is>
      </c>
      <c r="I58" s="6" t="inlineStr">
        <is>
          <t>oui</t>
        </is>
      </c>
      <c r="J58" s="6" t="n">
        <v>1584</v>
      </c>
      <c r="K58" s="6" t="n">
        <v>792</v>
      </c>
      <c r="L58" s="6" t="n">
        <v>792</v>
      </c>
      <c r="M58" s="6" t="inlineStr">
        <is>
          <t>#4 Control loss without prior vehicle action, #8 Road edge departure without prior vehicle maneuver</t>
        </is>
      </c>
      <c r="N58" s="6" t="inlineStr">
        <is>
          <t>H5, H1</t>
        </is>
      </c>
      <c r="O58" s="6" t="inlineStr">
        <is>
          <t>TC-CRAWL-098, TC-CRAWL-039</t>
        </is>
      </c>
      <c r="P58" s="6" t="inlineStr">
        <is>
          <t>TORC-SYSRQ-14124, TORC-SYSRQ-14120, TORC-SYSRQ-10172</t>
        </is>
      </c>
      <c r="Q58" s="6" t="inlineStr">
        <is>
          <t>non</t>
        </is>
      </c>
      <c r="R58" s="6" t="inlineStr">
        <is>
          <t>SERYTI catalogue v1 (PROPOSED)</t>
        </is>
      </c>
      <c r="S58" s="6" t="inlineStr">
        <is>
          <t>PROPOSED</t>
        </is>
      </c>
      <c r="T58" s="6" t="inlineStr"/>
      <c r="U58" s="6" t="inlineStr"/>
    </row>
    <row r="59">
      <c r="A59" s="6" t="inlineStr">
        <is>
          <t>LC-RD-01</t>
        </is>
      </c>
      <c r="B59" s="6" t="inlineStr">
        <is>
          <t>LC-RD</t>
        </is>
      </c>
      <c r="C59" s="6" t="inlineStr">
        <is>
          <t>mandatory lane change lane drop</t>
        </is>
      </c>
      <c r="D59" s="6" t="inlineStr">
        <is>
          <t>The origin lane ends (lane drop / lane ends) and SDT must merge into the adjacent lane with traffic.</t>
        </is>
      </c>
      <c r="E59" s="6" t="inlineStr">
        <is>
          <t>Highway</t>
        </is>
      </c>
      <c r="F59" s="6" t="inlineStr">
        <is>
          <t>HW-LC, HW-CRU</t>
        </is>
      </c>
      <c r="G59" s="6">
        <f>IF(F59="",0,LEN(F59)-LEN(SUBSTITUTE(F59,",",""))+1)</f>
        <v/>
      </c>
      <c r="H59" s="6" t="inlineStr">
        <is>
          <t>B (optionnel) : car
D (optionnel) : car, tractor_trailer</t>
        </is>
      </c>
      <c r="I59" s="6" t="inlineStr">
        <is>
          <t>oui</t>
        </is>
      </c>
      <c r="J59" s="6" t="n">
        <v>336</v>
      </c>
      <c r="K59" s="6" t="n">
        <v>336</v>
      </c>
      <c r="L59" s="6" t="n">
        <v>0</v>
      </c>
      <c r="M59" s="6" t="inlineStr">
        <is>
          <t>#19 Vehicle(s) changing lanes, same direction</t>
        </is>
      </c>
      <c r="N59" s="6" t="inlineStr">
        <is>
          <t>H1, H2, H3</t>
        </is>
      </c>
      <c r="O59" s="6" t="inlineStr">
        <is>
          <t>TC-CRAWL-024, TC-CRAWL-046, TC-CRAWL-047, TC-CRAWL-148, TC-CRAWL-079, TC-CRAWL-140</t>
        </is>
      </c>
      <c r="P59" s="6" t="inlineStr">
        <is>
          <t>TORC-SYSRQ-14123, TORC-TXT-14209, TORC-SYSRQ-10197, TORC-SYSRQ-10640, TORC-SYSRQ-13836, TORC-SYSRQ-10651, TORC-SYSRQ-13830, TORC-SYSRQ-10628</t>
        </is>
      </c>
      <c r="Q59" s="6" t="inlineStr">
        <is>
          <t>non</t>
        </is>
      </c>
      <c r="R59" s="6" t="inlineStr">
        <is>
          <t>SERYTI Lane Change library v0</t>
        </is>
      </c>
      <c r="S59" s="6" t="inlineStr">
        <is>
          <t>PROPOSED</t>
        </is>
      </c>
      <c r="T59" s="6" t="inlineStr"/>
      <c r="U59" s="6" t="inlineStr">
        <is>
          <t>§13 DUT merge at lane end (couvert)</t>
        </is>
      </c>
    </row>
    <row r="60">
      <c r="A60" s="6" t="inlineStr">
        <is>
          <t>LC-RD-02</t>
        </is>
      </c>
      <c r="B60" s="6" t="inlineStr">
        <is>
          <t>LC-RD</t>
        </is>
      </c>
      <c r="C60" s="6" t="inlineStr">
        <is>
          <t>lane change in work zone lane closure</t>
        </is>
      </c>
      <c r="D60" s="6" t="inlineStr">
        <is>
          <t>Work zone closes a lane with channelizing devices; SDT must merge and follow shifted / temporary lanes.</t>
        </is>
      </c>
      <c r="E60" s="6" t="inlineStr">
        <is>
          <t>Highway</t>
        </is>
      </c>
      <c r="F60" s="6" t="inlineStr">
        <is>
          <t>HW-LC, HW-CRU, HW-FOL</t>
        </is>
      </c>
      <c r="G60" s="6">
        <f>IF(F60="",0,LEN(F60)-LEN(SUBSTITUTE(F60,",",""))+1)</f>
        <v/>
      </c>
      <c r="H60" s="6" t="inlineStr">
        <is>
          <t>O (obligatoire) : cones
B (optionnel) : car
D (optionnel) : car</t>
        </is>
      </c>
      <c r="I60" s="6" t="inlineStr">
        <is>
          <t>oui</t>
        </is>
      </c>
      <c r="J60" s="6" t="n">
        <v>144</v>
      </c>
      <c r="K60" s="6" t="n">
        <v>144</v>
      </c>
      <c r="L60" s="6" t="n">
        <v>0</v>
      </c>
      <c r="M60" s="6" t="inlineStr">
        <is>
          <t>#37 Object crash without prior vehicle maneuver</t>
        </is>
      </c>
      <c r="N60" s="6" t="inlineStr">
        <is>
          <t>H1, H2, H3</t>
        </is>
      </c>
      <c r="O60" s="6" t="inlineStr">
        <is>
          <t>TC-CRAWL-240, TC-CRAWL-241, TC-CRAWL-242, TC-CRAWL-243, TC-CRAWL-244, TC-CRAWL-245, TC-CRAWL-238</t>
        </is>
      </c>
      <c r="P60" s="6" t="inlineStr">
        <is>
          <t>TORC-SYSRQ-14123, TORC-TXT-14209, TORC-SYSRQ-10197, TORC-SYSRQ-10640, TORC-SYSRQ-13836, TORC-SYSRQ-10651, TORC-SYSRQ-13830, TORC-SYSRQ-10628</t>
        </is>
      </c>
      <c r="Q60" s="6" t="inlineStr">
        <is>
          <t>oui</t>
        </is>
      </c>
      <c r="R60" s="6" t="inlineStr">
        <is>
          <t>SERYTI Lane Change library v0</t>
        </is>
      </c>
      <c r="S60" s="6" t="inlineStr">
        <is>
          <t>PROPOSED</t>
        </is>
      </c>
      <c r="T60" s="6" t="inlineStr"/>
      <c r="U60" s="6" t="inlineStr">
        <is>
          <t>§14 Stationary objects (partiel)</t>
        </is>
      </c>
    </row>
    <row r="61">
      <c r="A61" s="6" t="inlineStr">
        <is>
          <t>LC-RD-03</t>
        </is>
      </c>
      <c r="B61" s="6" t="inlineStr">
        <is>
          <t>LC-RD</t>
        </is>
      </c>
      <c r="C61" s="6" t="inlineStr">
        <is>
          <t>lane change in weave section</t>
        </is>
      </c>
      <c r="D61" s="6" t="inlineStr">
        <is>
          <t>SDT changes lane in a weave section between an on-ramp and an off-ramp with many crossing lane changes.</t>
        </is>
      </c>
      <c r="E61" s="6" t="inlineStr">
        <is>
          <t>Highway</t>
        </is>
      </c>
      <c r="F61" s="6" t="inlineStr">
        <is>
          <t>HW-LC, HW-ONR</t>
        </is>
      </c>
      <c r="G61" s="6">
        <f>IF(F61="",0,LEN(F61)-LEN(SUBSTITUTE(F61,",",""))+1)</f>
        <v/>
      </c>
      <c r="H61" s="6" t="inlineStr">
        <is>
          <t>E (obligatoire) : car · lane_change_into_target
F (optionnel) : car · lane_change_into_target
B (optionnel) : car
D (optionnel) : car</t>
        </is>
      </c>
      <c r="I61" s="6" t="inlineStr">
        <is>
          <t>oui</t>
        </is>
      </c>
      <c r="J61" s="6" t="n">
        <v>448</v>
      </c>
      <c r="K61" s="6" t="n">
        <v>448</v>
      </c>
      <c r="L61" s="6" t="n">
        <v>0</v>
      </c>
      <c r="M61" s="6" t="inlineStr">
        <is>
          <t>#19 Vehicle(s) changing lanes, same direction</t>
        </is>
      </c>
      <c r="N61" s="6" t="inlineStr">
        <is>
          <t>H1, H2, H3</t>
        </is>
      </c>
      <c r="O61" s="6" t="inlineStr">
        <is>
          <t>TC-CRAWL-049, TC-CRAWL-050, TC-CRAWL-097</t>
        </is>
      </c>
      <c r="P61" s="6" t="inlineStr">
        <is>
          <t>TORC-SYSRQ-14123, TORC-TXT-14209, TORC-SYSRQ-10197, TORC-SYSRQ-10640, TORC-SYSRQ-13836, TORC-SYSRQ-10651, TORC-SYSRQ-13830, TORC-SYSRQ-10628</t>
        </is>
      </c>
      <c r="Q61" s="6" t="inlineStr">
        <is>
          <t>non</t>
        </is>
      </c>
      <c r="R61" s="6" t="inlineStr">
        <is>
          <t>SERYTI Lane Change library v0</t>
        </is>
      </c>
      <c r="S61" s="6" t="inlineStr">
        <is>
          <t>PROPOSED</t>
        </is>
      </c>
      <c r="T61" s="6" t="inlineStr"/>
      <c r="U61" s="6" t="inlineStr">
        <is>
          <t>§4.1.1 DUT merges at highway entry (partiel)</t>
        </is>
      </c>
    </row>
    <row r="62">
      <c r="A62" s="6" t="inlineStr">
        <is>
          <t>LC-RD-04</t>
        </is>
      </c>
      <c r="B62" s="6" t="inlineStr">
        <is>
          <t>LC-RD</t>
        </is>
      </c>
      <c r="C62" s="6" t="inlineStr">
        <is>
          <t>mandatory lane change for exit</t>
        </is>
      </c>
      <c r="D62" s="6" t="inlineStr">
        <is>
          <t>SDT must reach the exit lane before the exit; sign may be missed or obscured.</t>
        </is>
      </c>
      <c r="E62" s="6" t="inlineStr">
        <is>
          <t>Highway</t>
        </is>
      </c>
      <c r="F62" s="6" t="inlineStr">
        <is>
          <t>HW-LC, HW-OFR</t>
        </is>
      </c>
      <c r="G62" s="6">
        <f>IF(F62="",0,LEN(F62)-LEN(SUBSTITUTE(F62,",",""))+1)</f>
        <v/>
      </c>
      <c r="H62" s="6" t="inlineStr">
        <is>
          <t>B (optionnel) : car
D (optionnel) : car, tractor_trailer</t>
        </is>
      </c>
      <c r="I62" s="6" t="inlineStr">
        <is>
          <t>oui</t>
        </is>
      </c>
      <c r="J62" s="6" t="n">
        <v>432</v>
      </c>
      <c r="K62" s="6" t="n">
        <v>432</v>
      </c>
      <c r="L62" s="6" t="n">
        <v>0</v>
      </c>
      <c r="M62" s="6" t="inlineStr">
        <is>
          <t>#19 Vehicle(s) changing lanes, same direction</t>
        </is>
      </c>
      <c r="N62" s="6" t="inlineStr">
        <is>
          <t>H1, H2, H3</t>
        </is>
      </c>
      <c r="O62" s="6" t="inlineStr">
        <is>
          <t>TC-CRAWL-101, TC-CRAWL-102, TC-CRAWL-144, TC-CRAWL-145, TC-CRAWL-146, TC-CRAWL-147</t>
        </is>
      </c>
      <c r="P62" s="6" t="inlineStr">
        <is>
          <t>TORC-SYSRQ-14123, TORC-TXT-14209, TORC-SYSRQ-10197, TORC-SYSRQ-10640, TORC-SYSRQ-13836, TORC-SYSRQ-10651, TORC-SYSRQ-13830, TORC-SYSRQ-10628</t>
        </is>
      </c>
      <c r="Q62" s="6" t="inlineStr">
        <is>
          <t>non</t>
        </is>
      </c>
      <c r="R62" s="6" t="inlineStr">
        <is>
          <t>SERYTI Lane Change library v0</t>
        </is>
      </c>
      <c r="S62" s="6" t="inlineStr">
        <is>
          <t>PROPOSED</t>
        </is>
      </c>
      <c r="T62" s="6" t="inlineStr"/>
      <c r="U62" s="6" t="inlineStr"/>
    </row>
    <row r="63">
      <c r="A63" s="6" t="inlineStr">
        <is>
          <t>LC-RD-05</t>
        </is>
      </c>
      <c r="B63" s="6" t="inlineStr">
        <is>
          <t>LC-RD</t>
        </is>
      </c>
      <c r="C63" s="6" t="inlineStr">
        <is>
          <t>lane change to yield to merging traffic</t>
        </is>
      </c>
      <c r="D63" s="6" t="inlineStr">
        <is>
          <t>Vehicles enter from an on-ramp next to SDT; SDT moves over to let them merge (courtesy).</t>
        </is>
      </c>
      <c r="E63" s="6" t="inlineStr">
        <is>
          <t>Highway</t>
        </is>
      </c>
      <c r="F63" s="6" t="inlineStr">
        <is>
          <t>HW-LC, HW-CRU, HW-FOL</t>
        </is>
      </c>
      <c r="G63" s="6">
        <f>IF(F63="",0,LEN(F63)-LEN(SUBSTITUTE(F63,",",""))+1)</f>
        <v/>
      </c>
      <c r="H63" s="6" t="inlineStr">
        <is>
          <t>G (obligatoire) : car, pickup · cut_in
D (optionnel) : car</t>
        </is>
      </c>
      <c r="I63" s="6" t="inlineStr">
        <is>
          <t>oui</t>
        </is>
      </c>
      <c r="J63" s="6" t="n">
        <v>288</v>
      </c>
      <c r="K63" s="6" t="n">
        <v>288</v>
      </c>
      <c r="L63" s="6" t="n">
        <v>0</v>
      </c>
      <c r="M63" s="6" t="inlineStr">
        <is>
          <t>#19 Vehicle(s) changing lanes, same direction</t>
        </is>
      </c>
      <c r="N63" s="6" t="inlineStr">
        <is>
          <t>H1, H2, H3</t>
        </is>
      </c>
      <c r="O63" s="6" t="inlineStr">
        <is>
          <t>TC-CRAWL-052, TC-CRAWL-099, TC-CRAWL-100, TC-CRAWL-265</t>
        </is>
      </c>
      <c r="P63" s="6" t="inlineStr">
        <is>
          <t>TORC-SYSRQ-14123, TORC-TXT-14209, TORC-SYSRQ-10197, TORC-SYSRQ-10640, TORC-SYSRQ-13836, TORC-SYSRQ-10651, TORC-SYSRQ-13830, TORC-SYSRQ-10628</t>
        </is>
      </c>
      <c r="Q63" s="6" t="inlineStr">
        <is>
          <t>non</t>
        </is>
      </c>
      <c r="R63" s="6" t="inlineStr">
        <is>
          <t>SERYTI Lane Change library v0</t>
        </is>
      </c>
      <c r="S63" s="6" t="inlineStr">
        <is>
          <t>PROPOSED</t>
        </is>
      </c>
      <c r="T63" s="6" t="inlineStr"/>
      <c r="U63" s="6" t="inlineStr">
        <is>
          <t>§4.1.3 Cars merge at highway entry (partiel)</t>
        </is>
      </c>
    </row>
    <row r="64">
      <c r="A64" s="6" t="inlineStr">
        <is>
          <t>LC-RD-06</t>
        </is>
      </c>
      <c r="B64" s="6" t="inlineStr">
        <is>
          <t>LC-RD</t>
        </is>
      </c>
      <c r="C64" s="6" t="inlineStr">
        <is>
          <t>lane change with degraded lane markings</t>
        </is>
      </c>
      <c r="D64" s="6" t="inlineStr">
        <is>
          <t>Boundary between origin and target lane is faded, missing, double-exposed or misleading.</t>
        </is>
      </c>
      <c r="E64" s="6" t="inlineStr">
        <is>
          <t>Highway</t>
        </is>
      </c>
      <c r="F64" s="6" t="inlineStr">
        <is>
          <t>HW-LC, HW-CRU, HW-FOL</t>
        </is>
      </c>
      <c r="G64" s="6">
        <f>IF(F64="",0,LEN(F64)-LEN(SUBSTITUTE(F64,",",""))+1)</f>
        <v/>
      </c>
      <c r="H64" s="6" t="inlineStr">
        <is>
          <t>aucun (SDT seul)</t>
        </is>
      </c>
      <c r="I64" s="6" t="inlineStr">
        <is>
          <t>oui</t>
        </is>
      </c>
      <c r="J64" s="6" t="n">
        <v>128</v>
      </c>
      <c r="K64" s="6" t="n">
        <v>80</v>
      </c>
      <c r="L64" s="6" t="n">
        <v>48</v>
      </c>
      <c r="M64" s="6" t="inlineStr">
        <is>
          <t>#7 Road edge departure with prior vehicle maneuver, #8 Road edge departure without prior vehicle maneuver</t>
        </is>
      </c>
      <c r="N64" s="6" t="inlineStr">
        <is>
          <t>H1, H2, H3</t>
        </is>
      </c>
      <c r="O64" s="6" t="inlineStr">
        <is>
          <t>TC-CRAWL-025, TC-CRAWL-055, TC-CRAWL-060, TC-CRAWL-061, TC-CRAWL-064, TC-CRAWL-065, TC-CRAWL-068</t>
        </is>
      </c>
      <c r="P64" s="6" t="inlineStr">
        <is>
          <t>TORC-SYSRQ-14123, TORC-TXT-14209, TORC-SYSRQ-10197, TORC-SYSRQ-10640, TORC-SYSRQ-13836, TORC-SYSRQ-10651, TORC-SYSRQ-13830, TORC-SYSRQ-10628, TORC-SYSRQ-14113, TORC-SYSRQ-10154</t>
        </is>
      </c>
      <c r="Q64" s="6" t="inlineStr">
        <is>
          <t>oui</t>
        </is>
      </c>
      <c r="R64" s="6" t="inlineStr">
        <is>
          <t>SERYTI Lane Change library v0</t>
        </is>
      </c>
      <c r="S64" s="6" t="inlineStr">
        <is>
          <t>PROPOSED</t>
        </is>
      </c>
      <c r="T64" s="6" t="inlineStr"/>
      <c r="U64" s="6" t="inlineStr"/>
    </row>
    <row r="65">
      <c r="A65" s="6" t="inlineStr">
        <is>
          <t>LC-RD-07</t>
        </is>
      </c>
      <c r="B65" s="6" t="inlineStr">
        <is>
          <t>LC-RD</t>
        </is>
      </c>
      <c r="C65" s="6" t="inlineStr">
        <is>
          <t>lane change on curve or grade</t>
        </is>
      </c>
      <c r="D65" s="6" t="inlineStr">
        <is>
          <t>Lane change on a curve, crest or steep grade where sight distance and stability margins are reduced.</t>
        </is>
      </c>
      <c r="E65" s="6" t="inlineStr">
        <is>
          <t>Highway</t>
        </is>
      </c>
      <c r="F65" s="6" t="inlineStr">
        <is>
          <t>HW-LC, HW-CRU, HW-FOL</t>
        </is>
      </c>
      <c r="G65" s="6">
        <f>IF(F65="",0,LEN(F65)-LEN(SUBSTITUTE(F65,",",""))+1)</f>
        <v/>
      </c>
      <c r="H65" s="6" t="inlineStr">
        <is>
          <t>B (optionnel) : car
D (optionnel) : car</t>
        </is>
      </c>
      <c r="I65" s="6" t="inlineStr">
        <is>
          <t>oui</t>
        </is>
      </c>
      <c r="J65" s="6" t="n">
        <v>432</v>
      </c>
      <c r="K65" s="6" t="n">
        <v>270</v>
      </c>
      <c r="L65" s="6" t="n">
        <v>162</v>
      </c>
      <c r="M65" s="6" t="inlineStr">
        <is>
          <t>#4 Control loss without prior vehicle action, #8 Road edge departure without prior vehicle maneuver</t>
        </is>
      </c>
      <c r="N65" s="6" t="inlineStr">
        <is>
          <t>H1, H2, H3, H5</t>
        </is>
      </c>
      <c r="O65" s="6" t="inlineStr">
        <is>
          <t>TC-CRAWL-032, TC-CRAWL-034, TC-CRAWL-036, TC-CRAWL-039, TC-CRAWL-042, TC-CRAWL-001, TC-CRAWL-006</t>
        </is>
      </c>
      <c r="P65" s="6" t="inlineStr">
        <is>
          <t>TORC-SYSRQ-14123, TORC-TXT-14209, TORC-SYSRQ-10197, TORC-SYSRQ-10640, TORC-SYSRQ-13836, TORC-SYSRQ-10651, TORC-SYSRQ-13830, TORC-SYSRQ-10628, TORC-SYSRQ-14120, TORC-SYSRQ-14121, TORC-SYSRQ-10172</t>
        </is>
      </c>
      <c r="Q65" s="6" t="inlineStr">
        <is>
          <t>non</t>
        </is>
      </c>
      <c r="R65" s="6" t="inlineStr">
        <is>
          <t>SERYTI Lane Change library v0</t>
        </is>
      </c>
      <c r="S65" s="6" t="inlineStr">
        <is>
          <t>PROPOSED</t>
        </is>
      </c>
      <c r="T65" s="6" t="inlineStr"/>
      <c r="U65" s="6" t="inlineStr">
        <is>
          <t>§9 To side on curve (partiel)</t>
        </is>
      </c>
    </row>
    <row r="66">
      <c r="A66" s="6" t="inlineStr">
        <is>
          <t>LC-RD-08</t>
        </is>
      </c>
      <c r="B66" s="6" t="inlineStr">
        <is>
          <t>LC-RD</t>
        </is>
      </c>
      <c r="C66" s="6" t="inlineStr">
        <is>
          <t>lane change with map lane mismatch</t>
        </is>
      </c>
      <c r="D66" s="6" t="inlineStr">
        <is>
          <t>Map and reality disagree on lane count or lane availability (recent restriping, added lane not in map).</t>
        </is>
      </c>
      <c r="E66" s="6" t="inlineStr">
        <is>
          <t>Highway</t>
        </is>
      </c>
      <c r="F66" s="6" t="inlineStr">
        <is>
          <t>HW-LC, HW-CRU</t>
        </is>
      </c>
      <c r="G66" s="6">
        <f>IF(F66="",0,LEN(F66)-LEN(SUBSTITUTE(F66,",",""))+1)</f>
        <v/>
      </c>
      <c r="H66" s="6" t="inlineStr">
        <is>
          <t>aucun (SDT seul)</t>
        </is>
      </c>
      <c r="I66" s="6" t="inlineStr">
        <is>
          <t>oui</t>
        </is>
      </c>
      <c r="J66" s="6" t="n">
        <v>32</v>
      </c>
      <c r="K66" s="6" t="n">
        <v>32</v>
      </c>
      <c r="L66" s="6" t="n">
        <v>0</v>
      </c>
      <c r="M66" s="6" t="inlineStr"/>
      <c r="N66" s="6" t="inlineStr">
        <is>
          <t>H1</t>
        </is>
      </c>
      <c r="O66" s="6" t="inlineStr">
        <is>
          <t>TC-CRAWL-237, TC-CRAWL-238, TC-CRAWL-239, TC-CRAWL-141</t>
        </is>
      </c>
      <c r="P66" s="6" t="inlineStr">
        <is>
          <t>TORC-SYSRQ-14123, TORC-TXT-14209, TORC-SYSRQ-10197, TORC-SYSRQ-10640, TORC-SYSRQ-13836, TORC-SYSRQ-10651, TORC-SYSRQ-13830, TORC-SYSRQ-10628</t>
        </is>
      </c>
      <c r="Q66" s="6" t="inlineStr">
        <is>
          <t>oui</t>
        </is>
      </c>
      <c r="R66" s="6" t="inlineStr">
        <is>
          <t>SERYTI Lane Change library v0</t>
        </is>
      </c>
      <c r="S66" s="6" t="inlineStr">
        <is>
          <t>PROPOSED</t>
        </is>
      </c>
      <c r="T66" s="6" t="inlineStr"/>
      <c r="U66" s="6" t="inlineStr"/>
    </row>
    <row r="67">
      <c r="A67" s="6" t="inlineStr">
        <is>
          <t>RD-09</t>
        </is>
      </c>
      <c r="B67" s="6" t="inlineStr">
        <is>
          <t>RD</t>
        </is>
      </c>
      <c r="C67" s="6" t="inlineStr">
        <is>
          <t>Voie plus étroite que 3,5 m</t>
        </is>
      </c>
      <c r="D67" s="6" t="inlineStr">
        <is>
          <t>La largeur de voie passe sous le seuil d'entrée de Cruise et de Stay in Lane (3,5 m).</t>
        </is>
      </c>
      <c r="E67" s="6" t="inlineStr">
        <is>
          <t>Highway</t>
        </is>
      </c>
      <c r="F67" s="6" t="inlineStr">
        <is>
          <t>HW-CRU, HW-FOL</t>
        </is>
      </c>
      <c r="G67" s="6">
        <f>IF(F67="",0,LEN(F67)-LEN(SUBSTITUTE(F67,",",""))+1)</f>
        <v/>
      </c>
      <c r="H67" s="6" t="inlineStr">
        <is>
          <t>D (optionnel) : car, tractor_trailer</t>
        </is>
      </c>
      <c r="I67" s="6" t="inlineStr">
        <is>
          <t>oui</t>
        </is>
      </c>
      <c r="J67" s="6" t="n">
        <v>96</v>
      </c>
      <c r="K67" s="6" t="n">
        <v>96</v>
      </c>
      <c r="L67" s="6" t="n">
        <v>0</v>
      </c>
      <c r="M67" s="6" t="inlineStr">
        <is>
          <t>#7 Road edge departure with prior vehicle maneuver, #8 Road edge departure without prior vehicle maneuver</t>
        </is>
      </c>
      <c r="N67" s="6" t="inlineStr">
        <is>
          <t>H1</t>
        </is>
      </c>
      <c r="O67" s="6" t="inlineStr">
        <is>
          <t>TC-CRAWL-027, TC-CRAWL-044</t>
        </is>
      </c>
      <c r="P67" s="6" t="inlineStr">
        <is>
          <t>TORC-SYSRQ-10155, TORC-SYSRQ-10154, TORC-SYSRQ-10178</t>
        </is>
      </c>
      <c r="Q67" s="6" t="inlineStr">
        <is>
          <t>non</t>
        </is>
      </c>
      <c r="R67" s="6" t="inlineStr">
        <is>
          <t>SERYTI catalogue v1 (PROPOSED)</t>
        </is>
      </c>
      <c r="S67" s="6" t="inlineStr">
        <is>
          <t>PROPOSED</t>
        </is>
      </c>
      <c r="T67" s="6" t="inlineStr"/>
      <c r="U67" s="6" t="inlineStr"/>
    </row>
    <row r="68">
      <c r="A68" s="6" t="inlineStr">
        <is>
          <t>RD-10</t>
        </is>
      </c>
      <c r="B68" s="6" t="inlineStr">
        <is>
          <t>RD</t>
        </is>
      </c>
      <c r="C68" s="6" t="inlineStr">
        <is>
          <t>Changement de limite de vitesse</t>
        </is>
      </c>
      <c r="D68" s="6" t="inlineStr">
        <is>
          <t>La limite baisse (zone, travaux, panneau temporaire) ; le SDT doit la respecter.</t>
        </is>
      </c>
      <c r="E68" s="6" t="inlineStr">
        <is>
          <t>Highway</t>
        </is>
      </c>
      <c r="F68" s="6" t="inlineStr">
        <is>
          <t>HW-CRU, HW-FOL</t>
        </is>
      </c>
      <c r="G68" s="6">
        <f>IF(F68="",0,LEN(F68)-LEN(SUBSTITUTE(F68,",",""))+1)</f>
        <v/>
      </c>
      <c r="H68" s="6" t="inlineStr">
        <is>
          <t>aucun (SDT seul)</t>
        </is>
      </c>
      <c r="I68" s="6" t="inlineStr">
        <is>
          <t>oui</t>
        </is>
      </c>
      <c r="J68" s="6" t="n">
        <v>24</v>
      </c>
      <c r="K68" s="6" t="n">
        <v>24</v>
      </c>
      <c r="L68" s="6" t="n">
        <v>0</v>
      </c>
      <c r="M68" s="6" t="inlineStr"/>
      <c r="N68" s="6" t="inlineStr">
        <is>
          <t>H2</t>
        </is>
      </c>
      <c r="O68" s="6" t="inlineStr">
        <is>
          <t>TC-CRAWL-123, TC-CRAWL-126, TC-CRAWL-127</t>
        </is>
      </c>
      <c r="P68" s="6" t="inlineStr">
        <is>
          <t>TORC-SYSRQ-14118, TORC-SYSRQ-10167</t>
        </is>
      </c>
      <c r="Q68" s="6" t="inlineStr">
        <is>
          <t>oui</t>
        </is>
      </c>
      <c r="R68" s="6" t="inlineStr">
        <is>
          <t>SERYTI catalogue v1 (PROPOSED)</t>
        </is>
      </c>
      <c r="S68" s="6" t="inlineStr">
        <is>
          <t>PROPOSED</t>
        </is>
      </c>
      <c r="T68" s="6" t="inlineStr"/>
      <c r="U68" s="6" t="inlineStr">
        <is>
          <t>§12 DUT speed limit change (couvert)</t>
        </is>
      </c>
    </row>
    <row r="69">
      <c r="A69" s="6" t="inlineStr">
        <is>
          <t>RD-11</t>
        </is>
      </c>
      <c r="B69" s="6" t="inlineStr">
        <is>
          <t>RD</t>
        </is>
      </c>
      <c r="C69" s="6" t="inlineStr">
        <is>
          <t>Pas d'accotement (pont, viaduc)</t>
        </is>
      </c>
      <c r="D69" s="6" t="inlineStr">
        <is>
          <t>Aucune place pour s'arrêter hors de la voie au moment où l'arrêt est demandé.</t>
        </is>
      </c>
      <c r="E69" s="6" t="inlineStr">
        <is>
          <t>Highway</t>
        </is>
      </c>
      <c r="F69" s="6" t="inlineStr">
        <is>
          <t>HW-CSS, HW-ESL</t>
        </is>
      </c>
      <c r="G69" s="6">
        <f>IF(F69="",0,LEN(F69)-LEN(SUBSTITUTE(F69,",",""))+1)</f>
        <v/>
      </c>
      <c r="H69" s="6" t="inlineStr">
        <is>
          <t>C (optionnel) : car, tractor_trailer</t>
        </is>
      </c>
      <c r="I69" s="6" t="inlineStr">
        <is>
          <t>oui</t>
        </is>
      </c>
      <c r="J69" s="6" t="n">
        <v>96</v>
      </c>
      <c r="K69" s="6" t="n">
        <v>96</v>
      </c>
      <c r="L69" s="6" t="n">
        <v>0</v>
      </c>
      <c r="M69" s="6" t="inlineStr"/>
      <c r="N69" s="6" t="inlineStr">
        <is>
          <t>H3</t>
        </is>
      </c>
      <c r="O69" s="6" t="inlineStr">
        <is>
          <t>TC-CRAWL-053</t>
        </is>
      </c>
      <c r="P69" s="6" t="inlineStr">
        <is>
          <t>TORC-SYSRQ-14127, TORC-SYSRQ-14126</t>
        </is>
      </c>
      <c r="Q69" s="6" t="inlineStr">
        <is>
          <t>non</t>
        </is>
      </c>
      <c r="R69" s="6" t="inlineStr">
        <is>
          <t>SERYTI catalogue v1 (PROPOSED)</t>
        </is>
      </c>
      <c r="S69" s="6" t="inlineStr">
        <is>
          <t>PROPOSED</t>
        </is>
      </c>
      <c r="T69" s="6" t="inlineStr"/>
      <c r="U69" s="6" t="inlineStr"/>
    </row>
    <row r="70">
      <c r="A70" s="6" t="inlineStr">
        <is>
          <t>RD-12</t>
        </is>
      </c>
      <c r="B70" s="6" t="inlineStr">
        <is>
          <t>RD</t>
        </is>
      </c>
      <c r="C70" s="6" t="inlineStr">
        <is>
          <t>Rafale de vent latéral</t>
        </is>
      </c>
      <c r="D70" s="6" t="inlineStr">
        <is>
          <t>Section exposée avec vent fort et rafales.</t>
        </is>
      </c>
      <c r="E70" s="6" t="inlineStr">
        <is>
          <t>Highway</t>
        </is>
      </c>
      <c r="F70" s="6" t="inlineStr">
        <is>
          <t>HW-CRU, HW-FOL, HW-LC</t>
        </is>
      </c>
      <c r="G70" s="6">
        <f>IF(F70="",0,LEN(F70)-LEN(SUBSTITUTE(F70,",",""))+1)</f>
        <v/>
      </c>
      <c r="H70" s="6" t="inlineStr">
        <is>
          <t>aucun (SDT seul)</t>
        </is>
      </c>
      <c r="I70" s="6" t="inlineStr">
        <is>
          <t>oui</t>
        </is>
      </c>
      <c r="J70" s="6" t="n">
        <v>36</v>
      </c>
      <c r="K70" s="6" t="n">
        <v>36</v>
      </c>
      <c r="L70" s="6" t="n">
        <v>0</v>
      </c>
      <c r="M70" s="6" t="inlineStr">
        <is>
          <t>#4 Control loss without prior vehicle action</t>
        </is>
      </c>
      <c r="N70" s="6" t="inlineStr">
        <is>
          <t>H1, H5</t>
        </is>
      </c>
      <c r="O70" s="6" t="inlineStr">
        <is>
          <t>TC-CRAWL-225, TC-CRAWL-227, TC-CRAWL-228</t>
        </is>
      </c>
      <c r="P70" s="6" t="inlineStr">
        <is>
          <t>TORC-SYSRQ-10154, TORC-SYSRQ-10178</t>
        </is>
      </c>
      <c r="Q70" s="6" t="inlineStr">
        <is>
          <t>non</t>
        </is>
      </c>
      <c r="R70" s="6" t="inlineStr">
        <is>
          <t>SERYTI catalogue v1 (PROPOSED)</t>
        </is>
      </c>
      <c r="S70" s="6" t="inlineStr">
        <is>
          <t>PROPOSED</t>
        </is>
      </c>
      <c r="T70" s="6" t="inlineStr"/>
      <c r="U70" s="6" t="inlineStr"/>
    </row>
    <row r="71">
      <c r="A71" s="6" t="inlineStr">
        <is>
          <t>RD-13</t>
        </is>
      </c>
      <c r="B71" s="6" t="inlineStr">
        <is>
          <t>RD</t>
        </is>
      </c>
      <c r="C71" s="6" t="inlineStr">
        <is>
          <t>Forte descente avec charge lourde</t>
        </is>
      </c>
      <c r="D71" s="6" t="inlineStr">
        <is>
          <t>Pente descendante qui allonge les distances d'arrêt.</t>
        </is>
      </c>
      <c r="E71" s="6" t="inlineStr">
        <is>
          <t>Highway</t>
        </is>
      </c>
      <c r="F71" s="6" t="inlineStr">
        <is>
          <t>HW-CRU, HW-FOL, HW-ESL, HW-CSS</t>
        </is>
      </c>
      <c r="G71" s="6">
        <f>IF(F71="",0,LEN(F71)-LEN(SUBSTITUTE(F71,",",""))+1)</f>
        <v/>
      </c>
      <c r="H71" s="6" t="inlineStr">
        <is>
          <t>A (optionnel) : car · brake</t>
        </is>
      </c>
      <c r="I71" s="6" t="inlineStr">
        <is>
          <t>oui</t>
        </is>
      </c>
      <c r="J71" s="6" t="n">
        <v>128</v>
      </c>
      <c r="K71" s="6" t="n">
        <v>128</v>
      </c>
      <c r="L71" s="6" t="n">
        <v>0</v>
      </c>
      <c r="M71" s="6" t="inlineStr">
        <is>
          <t>#4 Control loss without prior vehicle action</t>
        </is>
      </c>
      <c r="N71" s="6" t="inlineStr">
        <is>
          <t>H2, H5</t>
        </is>
      </c>
      <c r="O71" s="6" t="inlineStr">
        <is>
          <t>TC-CRAWL-039, TC-CRAWL-001</t>
        </is>
      </c>
      <c r="P71" s="6" t="inlineStr">
        <is>
          <t>TORC-SYSRQ-14120</t>
        </is>
      </c>
      <c r="Q71" s="6" t="inlineStr">
        <is>
          <t>non</t>
        </is>
      </c>
      <c r="R71" s="6" t="inlineStr">
        <is>
          <t>SERYTI catalogue v1 (PROPOSED)</t>
        </is>
      </c>
      <c r="S71" s="6" t="inlineStr">
        <is>
          <t>PROPOSED</t>
        </is>
      </c>
      <c r="T71" s="6" t="inlineStr"/>
      <c r="U71" s="6" t="inlineStr"/>
    </row>
    <row r="72">
      <c r="A72" s="6" t="inlineStr">
        <is>
          <t>RD-14</t>
        </is>
      </c>
      <c r="B72" s="6" t="inlineStr">
        <is>
          <t>RD</t>
        </is>
      </c>
      <c r="C72" s="6" t="inlineStr">
        <is>
          <t>Courbe avec véhicule dans la voie voisine</t>
        </is>
      </c>
      <c r="D72" s="6" t="inlineStr">
        <is>
          <t>Le SDT suit une courbe pendant qu'un véhicule roule devant ou à côté dans la voie voisine ; un semi voisin peut déporter sa remorque vers l'intérieur (Foretellix « to side on curve »).</t>
        </is>
      </c>
      <c r="E72" s="6" t="inlineStr">
        <is>
          <t>Highway</t>
        </is>
      </c>
      <c r="F72" s="6" t="inlineStr">
        <is>
          <t>HW-CRU, HW-FOL, HW-LC</t>
        </is>
      </c>
      <c r="G72" s="6">
        <f>IF(F72="",0,LEN(F72)-LEN(SUBSTITUTE(F72,",",""))+1)</f>
        <v/>
      </c>
      <c r="H72" s="6" t="inlineStr">
        <is>
          <t>B (optionnel) : car, tractor_trailer
D (optionnel) : tractor_trailer · hug</t>
        </is>
      </c>
      <c r="I72" s="6" t="inlineStr">
        <is>
          <t>oui</t>
        </is>
      </c>
      <c r="J72" s="6" t="n">
        <v>6264</v>
      </c>
      <c r="K72" s="6" t="n">
        <v>4176</v>
      </c>
      <c r="L72" s="6" t="n">
        <v>2088</v>
      </c>
      <c r="M72" s="6" t="inlineStr">
        <is>
          <t>#4 Control loss without prior vehicle action, #8 Road edge departure without prior vehicle maneuver, #20 Vehicle(s) drifting, same direction</t>
        </is>
      </c>
      <c r="N72" s="6" t="inlineStr">
        <is>
          <t>H1, H5</t>
        </is>
      </c>
      <c r="O72" s="6" t="inlineStr"/>
      <c r="P72" s="6" t="inlineStr">
        <is>
          <t>TORC-SYSRQ-10172, TORC-SYSRQ-14120, TORC-SYSRQ-14128</t>
        </is>
      </c>
      <c r="Q72" s="6" t="inlineStr">
        <is>
          <t>non</t>
        </is>
      </c>
      <c r="R72" s="6" t="inlineStr">
        <is>
          <t>SERYTI catalogue v1 (PROPOSED)</t>
        </is>
      </c>
      <c r="S72" s="6" t="inlineStr">
        <is>
          <t>PROPOSED</t>
        </is>
      </c>
      <c r="T72" s="6" t="inlineStr"/>
      <c r="U72" s="6" t="inlineStr">
        <is>
          <t>§9 To side on curve (couvert)</t>
        </is>
      </c>
    </row>
    <row r="73">
      <c r="A73" s="6" t="inlineStr">
        <is>
          <t>EMV-03</t>
        </is>
      </c>
      <c r="B73" s="6" t="inlineStr">
        <is>
          <t>EMV</t>
        </is>
      </c>
      <c r="C73" s="6" t="inlineStr">
        <is>
          <t>Véhicule d'urgence dans la congestion</t>
        </is>
      </c>
      <c r="D73" s="6" t="inlineStr">
        <is>
          <t>Une ambulance remonte un trafic lent : il faut former un passage.</t>
        </is>
      </c>
      <c r="E73" s="6" t="inlineStr">
        <is>
          <t>Highway</t>
        </is>
      </c>
      <c r="F73" s="6" t="inlineStr">
        <is>
          <t>HW-FOL, HW-CSS</t>
        </is>
      </c>
      <c r="G73" s="6">
        <f>IF(F73="",0,LEN(F73)-LEN(SUBSTITUTE(F73,",",""))+1)</f>
        <v/>
      </c>
      <c r="H73" s="6" t="inlineStr">
        <is>
          <t>A (obligatoire) : car, tractor_trailer
C (obligatoire) : ambulance, fire</t>
        </is>
      </c>
      <c r="I73" s="6" t="inlineStr">
        <is>
          <t>oui</t>
        </is>
      </c>
      <c r="J73" s="6" t="n">
        <v>512</v>
      </c>
      <c r="K73" s="6" t="n">
        <v>512</v>
      </c>
      <c r="L73" s="6" t="n">
        <v>0</v>
      </c>
      <c r="M73" s="6" t="inlineStr"/>
      <c r="N73" s="6" t="inlineStr">
        <is>
          <t>H6, H3</t>
        </is>
      </c>
      <c r="O73" s="6" t="inlineStr">
        <is>
          <t>TC-CRAWL-272</t>
        </is>
      </c>
      <c r="P73" s="6" t="inlineStr"/>
      <c r="Q73" s="6" t="inlineStr">
        <is>
          <t>non</t>
        </is>
      </c>
      <c r="R73" s="6" t="inlineStr">
        <is>
          <t>SERYTI catalogue v1 (PROPOSED)</t>
        </is>
      </c>
      <c r="S73" s="6" t="inlineStr">
        <is>
          <t>PROPOSED</t>
        </is>
      </c>
      <c r="T73" s="6" t="inlineStr"/>
      <c r="U73" s="6" t="inlineStr"/>
    </row>
    <row r="74">
      <c r="A74" s="6" t="inlineStr">
        <is>
          <t>EMV-04</t>
        </is>
      </c>
      <c r="B74" s="6" t="inlineStr">
        <is>
          <t>EMV</t>
        </is>
      </c>
      <c r="C74" s="6" t="inlineStr">
        <is>
          <t>Policier qui suit le SDT plus de 20 s</t>
        </is>
      </c>
      <c r="D74" s="6" t="inlineStr">
        <is>
          <t>Un LEO suit le SDT gyrophares allumés : arrêt sur l'accotement demandé.</t>
        </is>
      </c>
      <c r="E74" s="6" t="inlineStr">
        <is>
          <t>Highway</t>
        </is>
      </c>
      <c r="F74" s="6" t="inlineStr">
        <is>
          <t>HW-CSS</t>
        </is>
      </c>
      <c r="G74" s="6">
        <f>IF(F74="",0,LEN(F74)-LEN(SUBSTITUTE(F74,",",""))+1)</f>
        <v/>
      </c>
      <c r="H74" s="6" t="inlineStr">
        <is>
          <t>C (obligatoire) : police</t>
        </is>
      </c>
      <c r="I74" s="6" t="inlineStr">
        <is>
          <t>oui</t>
        </is>
      </c>
      <c r="J74" s="6" t="n">
        <v>32</v>
      </c>
      <c r="K74" s="6" t="n">
        <v>32</v>
      </c>
      <c r="L74" s="6" t="n">
        <v>0</v>
      </c>
      <c r="M74" s="6" t="inlineStr"/>
      <c r="N74" s="6" t="inlineStr">
        <is>
          <t>H6</t>
        </is>
      </c>
      <c r="O74" s="6" t="inlineStr">
        <is>
          <t>TC-CRAWL-195</t>
        </is>
      </c>
      <c r="P74" s="6" t="inlineStr">
        <is>
          <t>TORC-SYSRQ-15232, TORC-SYSRQ-14127</t>
        </is>
      </c>
      <c r="Q74" s="6" t="inlineStr">
        <is>
          <t>non</t>
        </is>
      </c>
      <c r="R74" s="6" t="inlineStr">
        <is>
          <t>SERYTI catalogue v1 (PROPOSED)</t>
        </is>
      </c>
      <c r="S74" s="6" t="inlineStr">
        <is>
          <t>PROPOSED</t>
        </is>
      </c>
      <c r="T74" s="6" t="inlineStr"/>
      <c r="U74" s="6" t="inlineStr"/>
    </row>
    <row r="75">
      <c r="A75" s="6" t="inlineStr">
        <is>
          <t>EMV-05</t>
        </is>
      </c>
      <c r="B75" s="6" t="inlineStr">
        <is>
          <t>EMV</t>
        </is>
      </c>
      <c r="C75" s="6" t="inlineStr">
        <is>
          <t>Véhicule d'urgence arrêté dans la voie</t>
        </is>
      </c>
      <c r="D75" s="6" t="inlineStr">
        <is>
          <t>Un véhicule de secours bloque la voie du SDT.</t>
        </is>
      </c>
      <c r="E75" s="6" t="inlineStr">
        <is>
          <t>Highway</t>
        </is>
      </c>
      <c r="F75" s="6" t="inlineStr">
        <is>
          <t>HW-LC, HW-ESL, HW-FOL</t>
        </is>
      </c>
      <c r="G75" s="6">
        <f>IF(F75="",0,LEN(F75)-LEN(SUBSTITUTE(F75,",",""))+1)</f>
        <v/>
      </c>
      <c r="H75" s="6" t="inlineStr">
        <is>
          <t>A (obligatoire) : police, fire, ambulance
D (optionnel) : car</t>
        </is>
      </c>
      <c r="I75" s="6" t="inlineStr">
        <is>
          <t>oui</t>
        </is>
      </c>
      <c r="J75" s="6" t="n">
        <v>144</v>
      </c>
      <c r="K75" s="6" t="n">
        <v>144</v>
      </c>
      <c r="L75" s="6" t="n">
        <v>0</v>
      </c>
      <c r="M75" s="6" t="inlineStr">
        <is>
          <t>#27 Lead vehicle stopped</t>
        </is>
      </c>
      <c r="N75" s="6" t="inlineStr">
        <is>
          <t>H2</t>
        </is>
      </c>
      <c r="O75" s="6" t="inlineStr">
        <is>
          <t>TC-CRAWL-196, TC-CRAWL-198</t>
        </is>
      </c>
      <c r="P75" s="6" t="inlineStr">
        <is>
          <t>TORC-SYSRQ-14123</t>
        </is>
      </c>
      <c r="Q75" s="6" t="inlineStr">
        <is>
          <t>non</t>
        </is>
      </c>
      <c r="R75" s="6" t="inlineStr">
        <is>
          <t>SERYTI catalogue v1 (PROPOSED)</t>
        </is>
      </c>
      <c r="S75" s="6" t="inlineStr">
        <is>
          <t>PROPOSED</t>
        </is>
      </c>
      <c r="T75" s="6" t="inlineStr"/>
      <c r="U75" s="6" t="inlineStr"/>
    </row>
    <row r="76">
      <c r="A76" s="6" t="inlineStr">
        <is>
          <t>EMV-06</t>
        </is>
      </c>
      <c r="B76" s="6" t="inlineStr">
        <is>
          <t>EMV</t>
        </is>
      </c>
      <c r="C76" s="6" t="inlineStr">
        <is>
          <t>Poursuite policière qui dépasse le SDT</t>
        </is>
      </c>
      <c r="D76" s="6" t="inlineStr">
        <is>
          <t>Un véhicule de police dépasse à grande vitesse.</t>
        </is>
      </c>
      <c r="E76" s="6" t="inlineStr">
        <is>
          <t>Highway</t>
        </is>
      </c>
      <c r="F76" s="6" t="inlineStr">
        <is>
          <t>HW-CRU, HW-FOL</t>
        </is>
      </c>
      <c r="G76" s="6">
        <f>IF(F76="",0,LEN(F76)-LEN(SUBSTITUTE(F76,",",""))+1)</f>
        <v/>
      </c>
      <c r="H76" s="6" t="inlineStr">
        <is>
          <t>D (obligatoire) : police</t>
        </is>
      </c>
      <c r="I76" s="6" t="inlineStr">
        <is>
          <t>oui</t>
        </is>
      </c>
      <c r="J76" s="6" t="n">
        <v>32</v>
      </c>
      <c r="K76" s="6" t="n">
        <v>32</v>
      </c>
      <c r="L76" s="6" t="n">
        <v>0</v>
      </c>
      <c r="M76" s="6" t="inlineStr"/>
      <c r="N76" s="6" t="inlineStr">
        <is>
          <t>H1, H6</t>
        </is>
      </c>
      <c r="O76" s="6" t="inlineStr">
        <is>
          <t>TC-CRAWL-195</t>
        </is>
      </c>
      <c r="P76" s="6" t="inlineStr">
        <is>
          <t>TORC-SYSRQ-14128</t>
        </is>
      </c>
      <c r="Q76" s="6" t="inlineStr">
        <is>
          <t>non</t>
        </is>
      </c>
      <c r="R76" s="6" t="inlineStr">
        <is>
          <t>SERYTI catalogue v1 (PROPOSED)</t>
        </is>
      </c>
      <c r="S76" s="6" t="inlineStr">
        <is>
          <t>PROPOSED</t>
        </is>
      </c>
      <c r="T76" s="6" t="inlineStr"/>
      <c r="U76" s="6" t="inlineStr"/>
    </row>
    <row r="77">
      <c r="A77" s="6" t="inlineStr">
        <is>
          <t>LC-OOD-01</t>
        </is>
      </c>
      <c r="B77" s="6" t="inlineStr">
        <is>
          <t>LC-OOD</t>
        </is>
      </c>
      <c r="C77" s="6" t="inlineStr">
        <is>
          <t>move over for stopped emv on shoulder</t>
        </is>
      </c>
      <c r="D77" s="6" t="inlineStr">
        <is>
          <t>Stopped EMV, police, TxDOT or tow vehicle with lights on the shoulder; SDT vacates the adjacent lane or slows.</t>
        </is>
      </c>
      <c r="E77" s="6" t="inlineStr">
        <is>
          <t>Highway</t>
        </is>
      </c>
      <c r="F77" s="6" t="inlineStr">
        <is>
          <t>HW-LC, HW-CRU, HW-FOL</t>
        </is>
      </c>
      <c r="G77" s="6">
        <f>IF(F77="",0,LEN(F77)-LEN(SUBSTITUTE(F77,",",""))+1)</f>
        <v/>
      </c>
      <c r="H77" s="6" t="inlineStr">
        <is>
          <t>S (obligatoire) : police, tow, txdot
D (optionnel) : car
B (optionnel) : car</t>
        </is>
      </c>
      <c r="I77" s="6" t="inlineStr">
        <is>
          <t>oui</t>
        </is>
      </c>
      <c r="J77" s="6" t="n">
        <v>2160</v>
      </c>
      <c r="K77" s="6" t="n">
        <v>1800</v>
      </c>
      <c r="L77" s="6" t="n">
        <v>360</v>
      </c>
      <c r="M77" s="6" t="inlineStr">
        <is>
          <t>#37 Object crash without prior vehicle maneuver</t>
        </is>
      </c>
      <c r="N77" s="6" t="inlineStr">
        <is>
          <t>H1, H2, H3</t>
        </is>
      </c>
      <c r="O77" s="6" t="inlineStr">
        <is>
          <t>TC-CRAWL-196, TC-CRAWL-197, TC-CRAWL-198, TC-CRAWL-199, TC-CRAWL-183</t>
        </is>
      </c>
      <c r="P77" s="6" t="inlineStr">
        <is>
          <t>TORC-SYSRQ-14123, TORC-TXT-14209, TORC-SYSRQ-10197, TORC-SYSRQ-10640, TORC-SYSRQ-13836, TORC-SYSRQ-10651, TORC-SYSRQ-13830, TORC-SYSRQ-10628, TORC-SYSRQ-15232</t>
        </is>
      </c>
      <c r="Q77" s="6" t="inlineStr">
        <is>
          <t>non</t>
        </is>
      </c>
      <c r="R77" s="6" t="inlineStr">
        <is>
          <t>SERYTI Lane Change library v0</t>
        </is>
      </c>
      <c r="S77" s="6" t="inlineStr">
        <is>
          <t>PROPOSED</t>
        </is>
      </c>
      <c r="T77" s="6" t="inlineStr"/>
      <c r="U77" s="6" t="inlineStr"/>
    </row>
    <row r="78">
      <c r="A78" s="6" t="inlineStr">
        <is>
          <t>LC-OOD-02</t>
        </is>
      </c>
      <c r="B78" s="6" t="inlineStr">
        <is>
          <t>LC-OOD</t>
        </is>
      </c>
      <c r="C78" s="6" t="inlineStr">
        <is>
          <t>yield lane to approaching emv</t>
        </is>
      </c>
      <c r="D78" s="6" t="inlineStr">
        <is>
          <t>EMV with lights / siren approaches from behind in SDT lane; SDT moves over to let it pass.</t>
        </is>
      </c>
      <c r="E78" s="6" t="inlineStr">
        <is>
          <t>Highway</t>
        </is>
      </c>
      <c r="F78" s="6" t="inlineStr">
        <is>
          <t>HW-LC, HW-CRU, HW-FOL, HW-CSS</t>
        </is>
      </c>
      <c r="G78" s="6">
        <f>IF(F78="",0,LEN(F78)-LEN(SUBSTITUTE(F78,",",""))+1)</f>
        <v/>
      </c>
      <c r="H78" s="6" t="inlineStr">
        <is>
          <t>C (obligatoire) : ambulance, police
D (optionnel) : car</t>
        </is>
      </c>
      <c r="I78" s="6" t="inlineStr">
        <is>
          <t>oui</t>
        </is>
      </c>
      <c r="J78" s="6" t="n">
        <v>256</v>
      </c>
      <c r="K78" s="6" t="n">
        <v>160</v>
      </c>
      <c r="L78" s="6" t="n">
        <v>96</v>
      </c>
      <c r="M78" s="6" t="inlineStr">
        <is>
          <t>#23 Following vehicle making a maneuver</t>
        </is>
      </c>
      <c r="N78" s="6" t="inlineStr">
        <is>
          <t>H1, H2, H3</t>
        </is>
      </c>
      <c r="O78" s="6" t="inlineStr">
        <is>
          <t>TC-CRAWL-195, TC-CRAWL-198, TC-CRAWL-272</t>
        </is>
      </c>
      <c r="P78" s="6" t="inlineStr">
        <is>
          <t>TORC-SYSRQ-14123, TORC-TXT-14209, TORC-SYSRQ-10197, TORC-SYSRQ-10640, TORC-SYSRQ-13836, TORC-SYSRQ-10651, TORC-SYSRQ-13830, TORC-SYSRQ-10628</t>
        </is>
      </c>
      <c r="Q78" s="6" t="inlineStr">
        <is>
          <t>oui</t>
        </is>
      </c>
      <c r="R78" s="6" t="inlineStr">
        <is>
          <t>SERYTI Lane Change library v0</t>
        </is>
      </c>
      <c r="S78" s="6" t="inlineStr">
        <is>
          <t>PROPOSED</t>
        </is>
      </c>
      <c r="T78" s="6" t="inlineStr"/>
      <c r="U78" s="6" t="inlineStr"/>
    </row>
    <row r="79">
      <c r="A79" s="6" t="inlineStr">
        <is>
          <t>LC-OOD-03</t>
        </is>
      </c>
      <c r="B79" s="6" t="inlineStr">
        <is>
          <t>LC-OOD</t>
        </is>
      </c>
      <c r="C79" s="6" t="inlineStr">
        <is>
          <t>lane change with object in target lane</t>
        </is>
      </c>
      <c r="D79" s="6" t="inlineStr">
        <is>
          <t>FOD, lost cargo or an unusual object lies in the target lane at or after the planned merge point.</t>
        </is>
      </c>
      <c r="E79" s="6" t="inlineStr">
        <is>
          <t>Highway</t>
        </is>
      </c>
      <c r="F79" s="6" t="inlineStr">
        <is>
          <t>HW-LC</t>
        </is>
      </c>
      <c r="G79" s="6">
        <f>IF(F79="",0,LEN(F79)-LEN(SUBSTITUTE(F79,",",""))+1)</f>
        <v/>
      </c>
      <c r="H79" s="6" t="inlineStr">
        <is>
          <t>O (obligatoire) : tire_debris, lost_cargo
D (optionnel) : car</t>
        </is>
      </c>
      <c r="I79" s="6" t="inlineStr">
        <is>
          <t>oui</t>
        </is>
      </c>
      <c r="J79" s="6" t="n">
        <v>24</v>
      </c>
      <c r="K79" s="6" t="n">
        <v>24</v>
      </c>
      <c r="L79" s="6" t="n">
        <v>0</v>
      </c>
      <c r="M79" s="6" t="inlineStr">
        <is>
          <t>#37 Object crash without prior vehicle maneuver</t>
        </is>
      </c>
      <c r="N79" s="6" t="inlineStr">
        <is>
          <t>H1, H2, H3, H4</t>
        </is>
      </c>
      <c r="O79" s="6" t="inlineStr">
        <is>
          <t>TC-CRAWL-210, TC-CRAWL-212, TC-CRAWL-214, TC-CRAWL-215, TC-CRAWL-271</t>
        </is>
      </c>
      <c r="P79" s="6" t="inlineStr">
        <is>
          <t>TORC-SYSRQ-14123, TORC-TXT-14209, TORC-SYSRQ-10197, TORC-SYSRQ-10640, TORC-SYSRQ-13836, TORC-SYSRQ-10651, TORC-SYSRQ-13830, TORC-SYSRQ-10628</t>
        </is>
      </c>
      <c r="Q79" s="6" t="inlineStr">
        <is>
          <t>oui</t>
        </is>
      </c>
      <c r="R79" s="6" t="inlineStr">
        <is>
          <t>SERYTI Lane Change library v0</t>
        </is>
      </c>
      <c r="S79" s="6" t="inlineStr">
        <is>
          <t>PROPOSED</t>
        </is>
      </c>
      <c r="T79" s="6" t="inlineStr"/>
      <c r="U79" s="6" t="inlineStr"/>
    </row>
    <row r="80">
      <c r="A80" s="6" t="inlineStr">
        <is>
          <t>LC-OOD-04</t>
        </is>
      </c>
      <c r="B80" s="6" t="inlineStr">
        <is>
          <t>LC-OOD</t>
        </is>
      </c>
      <c r="C80" s="6" t="inlineStr">
        <is>
          <t>lane change at crash scene</t>
        </is>
      </c>
      <c r="D80" s="6" t="inlineStr">
        <is>
          <t>Crash scene ahead with responders on foot, emergency lighting, debris and improvised lane closure.</t>
        </is>
      </c>
      <c r="E80" s="6" t="inlineStr">
        <is>
          <t>Highway</t>
        </is>
      </c>
      <c r="F80" s="6" t="inlineStr">
        <is>
          <t>HW-LC, HW-ESL, HW-FOL, HW-CSS, HW-CRU</t>
        </is>
      </c>
      <c r="G80" s="6">
        <f>IF(F80="",0,LEN(F80)-LEN(SUBSTITUTE(F80,",",""))+1)</f>
        <v/>
      </c>
      <c r="H80" s="6" t="inlineStr">
        <is>
          <t>O (obligatoire) : crash_scene
S (optionnel) : police, ambulance
B (optionnel) : car
D (optionnel) : car</t>
        </is>
      </c>
      <c r="I80" s="6" t="inlineStr">
        <is>
          <t>oui</t>
        </is>
      </c>
      <c r="J80" s="6" t="n">
        <v>440</v>
      </c>
      <c r="K80" s="6" t="n">
        <v>440</v>
      </c>
      <c r="L80" s="6" t="n">
        <v>0</v>
      </c>
      <c r="M80" s="6" t="inlineStr">
        <is>
          <t>#37 Object crash without prior vehicle maneuver</t>
        </is>
      </c>
      <c r="N80" s="6" t="inlineStr">
        <is>
          <t>H1, H2, H3, H4</t>
        </is>
      </c>
      <c r="O80" s="6" t="inlineStr">
        <is>
          <t>TC-CRAWL-266, TC-CRAWL-174</t>
        </is>
      </c>
      <c r="P80" s="6" t="inlineStr">
        <is>
          <t>TORC-SYSRQ-14123, TORC-TXT-14209, TORC-SYSRQ-10197, TORC-SYSRQ-10640, TORC-SYSRQ-13836, TORC-SYSRQ-10651, TORC-SYSRQ-13830, TORC-SYSRQ-10628</t>
        </is>
      </c>
      <c r="Q80" s="6" t="inlineStr">
        <is>
          <t>oui</t>
        </is>
      </c>
      <c r="R80" s="6" t="inlineStr">
        <is>
          <t>SERYTI Lane Change library v0</t>
        </is>
      </c>
      <c r="S80" s="6" t="inlineStr">
        <is>
          <t>PROPOSED</t>
        </is>
      </c>
      <c r="T80" s="6" t="inlineStr"/>
      <c r="U80" s="6" t="inlineStr">
        <is>
          <t>§14 Stationary objects (partiel)</t>
        </is>
      </c>
    </row>
    <row r="81">
      <c r="A81" s="6" t="inlineStr">
        <is>
          <t>LC-REF-01</t>
        </is>
      </c>
      <c r="B81" s="6" t="inlineStr">
        <is>
          <t>LC-OOD</t>
        </is>
      </c>
      <c r="C81" s="6" t="inlineStr">
        <is>
          <t>lane change for stopped vehicle on shoulder</t>
        </is>
      </c>
      <c r="D81" s="6" t="inlineStr">
        <is>
          <t>Un véhicule est arrêté entièrement sur l'accotement droit pendant que le SDT roule dans la voie de droite. Des véhicules devant et derrière peuvent être présents. La réponse du SDT est observée, jamais scriptée.</t>
        </is>
      </c>
      <c r="E81" s="6" t="inlineStr">
        <is>
          <t>Highway</t>
        </is>
      </c>
      <c r="F81" s="6" t="inlineStr">
        <is>
          <t>HW-LC, HW-CRU, HW-FOL</t>
        </is>
      </c>
      <c r="G81" s="6">
        <f>IF(F81="",0,LEN(F81)-LEN(SUBSTITUTE(F81,",",""))+1)</f>
        <v/>
      </c>
      <c r="H81" s="6" t="inlineStr">
        <is>
          <t>A (optionnel) : car
C (optionnel) : car
S (obligatoire) : stopped_vehicle</t>
        </is>
      </c>
      <c r="I81" s="6" t="inlineStr">
        <is>
          <t>oui</t>
        </is>
      </c>
      <c r="J81" s="6" t="n">
        <v>108</v>
      </c>
      <c r="K81" s="6" t="n">
        <v>108</v>
      </c>
      <c r="L81" s="6" t="n">
        <v>0</v>
      </c>
      <c r="M81" s="6" t="inlineStr">
        <is>
          <t>#37 Object crash without prior vehicle maneuver</t>
        </is>
      </c>
      <c r="N81" s="6" t="inlineStr">
        <is>
          <t>H1, H2</t>
        </is>
      </c>
      <c r="O81" s="6" t="inlineStr">
        <is>
          <t>TC-CRAWL-196, TC-CRAWL-197, TC-CRAWL-198, TC-CRAWL-199, TC-CRAWL-183</t>
        </is>
      </c>
      <c r="P81" s="6" t="inlineStr">
        <is>
          <t>TORC-SYSRQ-14123, TORC-TXT-14209, TORC-SYSRQ-10197, TORC-SYSRQ-10640, TORC-SYSRQ-13836, TORC-SYSRQ-10651, TORC-SYSRQ-13830, TORC-SYSRQ-10628</t>
        </is>
      </c>
      <c r="Q81" s="6" t="inlineStr">
        <is>
          <t>non</t>
        </is>
      </c>
      <c r="R81" s="6" t="inlineStr">
        <is>
          <t>Référence jalon 1 (valeurs de la démo DEMO-SHOULDER-01)</t>
        </is>
      </c>
      <c r="S81" s="6" t="inlineStr">
        <is>
          <t>REFERENCE</t>
        </is>
      </c>
      <c r="T81" s="6" t="inlineStr"/>
      <c r="U81" s="6" t="inlineStr"/>
    </row>
    <row r="82">
      <c r="A82" s="6" t="inlineStr">
        <is>
          <t>OBJ-01</t>
        </is>
      </c>
      <c r="B82" s="6" t="inlineStr">
        <is>
          <t>OBJ</t>
        </is>
      </c>
      <c r="C82" s="6" t="inlineStr">
        <is>
          <t>Petit débris franchissable dans la voie</t>
        </is>
      </c>
      <c r="D82" s="6" t="inlineStr">
        <is>
          <t>Un débris bas dans la voie du SDT : le chevaucher ou l'éviter.</t>
        </is>
      </c>
      <c r="E82" s="6" t="inlineStr">
        <is>
          <t>Highway</t>
        </is>
      </c>
      <c r="F82" s="6" t="inlineStr">
        <is>
          <t>HW-CRU, HW-FOL</t>
        </is>
      </c>
      <c r="G82" s="6">
        <f>IF(F82="",0,LEN(F82)-LEN(SUBSTITUTE(F82,",",""))+1)</f>
        <v/>
      </c>
      <c r="H82" s="6" t="inlineStr">
        <is>
          <t>O (obligatoire) : tire_debris</t>
        </is>
      </c>
      <c r="I82" s="6" t="inlineStr">
        <is>
          <t>oui</t>
        </is>
      </c>
      <c r="J82" s="6" t="n">
        <v>24</v>
      </c>
      <c r="K82" s="6" t="n">
        <v>24</v>
      </c>
      <c r="L82" s="6" t="n">
        <v>0</v>
      </c>
      <c r="M82" s="6" t="inlineStr">
        <is>
          <t>#37 Object crash without prior vehicle maneuver</t>
        </is>
      </c>
      <c r="N82" s="6" t="inlineStr">
        <is>
          <t>H2, H5</t>
        </is>
      </c>
      <c r="O82" s="6" t="inlineStr">
        <is>
          <t>TC-CRAWL-210, TC-CRAWL-215</t>
        </is>
      </c>
      <c r="P82" s="6" t="inlineStr"/>
      <c r="Q82" s="6" t="inlineStr">
        <is>
          <t>oui</t>
        </is>
      </c>
      <c r="R82" s="6" t="inlineStr">
        <is>
          <t>SERYTI catalogue v1 (PROPOSED)</t>
        </is>
      </c>
      <c r="S82" s="6" t="inlineStr">
        <is>
          <t>PROPOSED</t>
        </is>
      </c>
      <c r="T82" s="6" t="inlineStr"/>
      <c r="U82" s="6" t="inlineStr">
        <is>
          <t>§14 Stationary objects (couvert)</t>
        </is>
      </c>
    </row>
    <row r="83">
      <c r="A83" s="6" t="inlineStr">
        <is>
          <t>OBJ-02</t>
        </is>
      </c>
      <c r="B83" s="6" t="inlineStr">
        <is>
          <t>OBJ</t>
        </is>
      </c>
      <c r="C83" s="6" t="inlineStr">
        <is>
          <t>Chargement perdu ou gros débris dans la voie</t>
        </is>
      </c>
      <c r="D83" s="6" t="inlineStr">
        <is>
          <t>Un objet infranchissable bloque la voie du SDT.</t>
        </is>
      </c>
      <c r="E83" s="6" t="inlineStr">
        <is>
          <t>Highway</t>
        </is>
      </c>
      <c r="F83" s="6" t="inlineStr">
        <is>
          <t>HW-ESL, HW-ELM, HW-LC, HW-FOL, HW-CSS</t>
        </is>
      </c>
      <c r="G83" s="6">
        <f>IF(F83="",0,LEN(F83)-LEN(SUBSTITUTE(F83,",",""))+1)</f>
        <v/>
      </c>
      <c r="H83" s="6" t="inlineStr">
        <is>
          <t>O (obligatoire) : lost_cargo, stopped_vehicle
D (optionnel) : car</t>
        </is>
      </c>
      <c r="I83" s="6" t="inlineStr">
        <is>
          <t>oui</t>
        </is>
      </c>
      <c r="J83" s="6" t="n">
        <v>240</v>
      </c>
      <c r="K83" s="6" t="n">
        <v>240</v>
      </c>
      <c r="L83" s="6" t="n">
        <v>0</v>
      </c>
      <c r="M83" s="6" t="inlineStr">
        <is>
          <t>#36 Object crash with prior vehicle maneuver, #37 Object crash without prior vehicle maneuver</t>
        </is>
      </c>
      <c r="N83" s="6" t="inlineStr">
        <is>
          <t>H2</t>
        </is>
      </c>
      <c r="O83" s="6" t="inlineStr">
        <is>
          <t>TC-CRAWL-210, TC-CRAWL-271</t>
        </is>
      </c>
      <c r="P83" s="6" t="inlineStr">
        <is>
          <t>TORC-SYSRQ-14123, TORC-SYSRQ-14126</t>
        </is>
      </c>
      <c r="Q83" s="6" t="inlineStr">
        <is>
          <t>non</t>
        </is>
      </c>
      <c r="R83" s="6" t="inlineStr">
        <is>
          <t>SERYTI catalogue v1 (PROPOSED)</t>
        </is>
      </c>
      <c r="S83" s="6" t="inlineStr">
        <is>
          <t>PROPOSED</t>
        </is>
      </c>
      <c r="T83" s="6" t="inlineStr"/>
      <c r="U83" s="6" t="inlineStr">
        <is>
          <t>§14 Stationary objects (couvert)</t>
        </is>
      </c>
    </row>
    <row r="84">
      <c r="A84" s="6" t="inlineStr">
        <is>
          <t>OBJ-03</t>
        </is>
      </c>
      <c r="B84" s="6" t="inlineStr">
        <is>
          <t>OBJ</t>
        </is>
      </c>
      <c r="C84" s="6" t="inlineStr">
        <is>
          <t>Véhicule en panne qui déborde de l'accotement</t>
        </is>
      </c>
      <c r="D84" s="6" t="inlineStr">
        <is>
          <t>Un véhicule arrêté sur l'accotement empiète dans la voie de droite.</t>
        </is>
      </c>
      <c r="E84" s="6" t="inlineStr">
        <is>
          <t>Highway</t>
        </is>
      </c>
      <c r="F84" s="6" t="inlineStr">
        <is>
          <t>HW-CRU, HW-FOL, HW-LC</t>
        </is>
      </c>
      <c r="G84" s="6">
        <f>IF(F84="",0,LEN(F84)-LEN(SUBSTITUTE(F84,",",""))+1)</f>
        <v/>
      </c>
      <c r="H84" s="6" t="inlineStr">
        <is>
          <t>S (obligatoire) : stopped_vehicle, tractor_trailer</t>
        </is>
      </c>
      <c r="I84" s="6" t="inlineStr">
        <is>
          <t>oui</t>
        </is>
      </c>
      <c r="J84" s="6" t="n">
        <v>144</v>
      </c>
      <c r="K84" s="6" t="n">
        <v>144</v>
      </c>
      <c r="L84" s="6" t="n">
        <v>0</v>
      </c>
      <c r="M84" s="6" t="inlineStr"/>
      <c r="N84" s="6" t="inlineStr">
        <is>
          <t>H1</t>
        </is>
      </c>
      <c r="O84" s="6" t="inlineStr">
        <is>
          <t>TC-CRAWL-183</t>
        </is>
      </c>
      <c r="P84" s="6" t="inlineStr">
        <is>
          <t>TORC-SYSRQ-14128, TORC-SYSRQ-10180</t>
        </is>
      </c>
      <c r="Q84" s="6" t="inlineStr">
        <is>
          <t>non</t>
        </is>
      </c>
      <c r="R84" s="6" t="inlineStr">
        <is>
          <t>SERYTI catalogue v1 (PROPOSED)</t>
        </is>
      </c>
      <c r="S84" s="6" t="inlineStr">
        <is>
          <t>PROPOSED</t>
        </is>
      </c>
      <c r="T84" s="6" t="inlineStr"/>
      <c r="U84" s="6" t="inlineStr"/>
    </row>
    <row r="85">
      <c r="A85" s="6" t="inlineStr">
        <is>
          <t>OBJ-04</t>
        </is>
      </c>
      <c r="B85" s="6" t="inlineStr">
        <is>
          <t>OBJ</t>
        </is>
      </c>
      <c r="C85" s="6" t="inlineStr">
        <is>
          <t>Animal sur la chaussée</t>
        </is>
      </c>
      <c r="D85" s="6" t="inlineStr">
        <is>
          <t>Cerf ou bétail sur la voie (hors ODD validé).</t>
        </is>
      </c>
      <c r="E85" s="6" t="inlineStr">
        <is>
          <t>Highway</t>
        </is>
      </c>
      <c r="F85" s="6" t="inlineStr">
        <is>
          <t>HW-ESL, HW-ELM, HW-FOL, HW-CRU</t>
        </is>
      </c>
      <c r="G85" s="6">
        <f>IF(F85="",0,LEN(F85)-LEN(SUBSTITUTE(F85,",",""))+1)</f>
        <v/>
      </c>
      <c r="H85" s="6" t="inlineStr">
        <is>
          <t>O (obligatoire) : deer, livestock</t>
        </is>
      </c>
      <c r="I85" s="6" t="inlineStr">
        <is>
          <t>oui</t>
        </is>
      </c>
      <c r="J85" s="6" t="n">
        <v>192</v>
      </c>
      <c r="K85" s="6" t="n">
        <v>192</v>
      </c>
      <c r="L85" s="6" t="n">
        <v>0</v>
      </c>
      <c r="M85" s="6" t="inlineStr">
        <is>
          <t>#10 Animal crash with prior vehicle maneuver, #11 Animal crash without prior vehicle maneuver</t>
        </is>
      </c>
      <c r="N85" s="6" t="inlineStr">
        <is>
          <t>H2, H5</t>
        </is>
      </c>
      <c r="O85" s="6" t="inlineStr">
        <is>
          <t>TC-CRAWL-253, TC-CRAWL-254</t>
        </is>
      </c>
      <c r="P85" s="6" t="inlineStr"/>
      <c r="Q85" s="6" t="inlineStr">
        <is>
          <t>oui</t>
        </is>
      </c>
      <c r="R85" s="6" t="inlineStr">
        <is>
          <t>SERYTI catalogue v1 (PROPOSED)</t>
        </is>
      </c>
      <c r="S85" s="6" t="inlineStr">
        <is>
          <t>PROPOSED</t>
        </is>
      </c>
      <c r="T85" s="6" t="inlineStr"/>
      <c r="U85" s="6" t="inlineStr">
        <is>
          <t>§14 Stationary objects (partiel)</t>
        </is>
      </c>
    </row>
    <row r="86">
      <c r="A86" s="6" t="inlineStr">
        <is>
          <t>OBJ-05</t>
        </is>
      </c>
      <c r="B86" s="6" t="inlineStr">
        <is>
          <t>OBJ</t>
        </is>
      </c>
      <c r="C86" s="6" t="inlineStr">
        <is>
          <t>Piéton sur l'autoroute</t>
        </is>
      </c>
      <c r="D86" s="6" t="inlineStr">
        <is>
          <t>Une personne sortie d'un véhicule en panne marche près de la voie.</t>
        </is>
      </c>
      <c r="E86" s="6" t="inlineStr">
        <is>
          <t>Highway</t>
        </is>
      </c>
      <c r="F86" s="6" t="inlineStr">
        <is>
          <t>HW-CRU, HW-FOL, HW-ESL, HW-CSS</t>
        </is>
      </c>
      <c r="G86" s="6">
        <f>IF(F86="",0,LEN(F86)-LEN(SUBSTITUTE(F86,",",""))+1)</f>
        <v/>
      </c>
      <c r="H86" s="6" t="inlineStr">
        <is>
          <t>S (obligatoire) : stopped_vehicle
O (obligatoire) : pedestrian</t>
        </is>
      </c>
      <c r="I86" s="6" t="inlineStr">
        <is>
          <t>oui</t>
        </is>
      </c>
      <c r="J86" s="6" t="n">
        <v>64</v>
      </c>
      <c r="K86" s="6" t="n">
        <v>64</v>
      </c>
      <c r="L86" s="6" t="n">
        <v>0</v>
      </c>
      <c r="M86" s="6" t="inlineStr">
        <is>
          <t>#13 Pedestrian crash without prior vehicle maneuver</t>
        </is>
      </c>
      <c r="N86" s="6" t="inlineStr">
        <is>
          <t>H2</t>
        </is>
      </c>
      <c r="O86" s="6" t="inlineStr">
        <is>
          <t>TC-CRAWL-202, TC-CRAWL-203</t>
        </is>
      </c>
      <c r="P86" s="6" t="inlineStr"/>
      <c r="Q86" s="6" t="inlineStr">
        <is>
          <t>oui</t>
        </is>
      </c>
      <c r="R86" s="6" t="inlineStr">
        <is>
          <t>SERYTI catalogue v1 (PROPOSED)</t>
        </is>
      </c>
      <c r="S86" s="6" t="inlineStr">
        <is>
          <t>PROPOSED</t>
        </is>
      </c>
      <c r="T86" s="6" t="inlineStr"/>
      <c r="U86" s="6" t="inlineStr">
        <is>
          <t>§14 Stationary objects (couvert)</t>
        </is>
      </c>
    </row>
    <row r="87">
      <c r="A87" s="6" t="inlineStr">
        <is>
          <t>OBJ-06</t>
        </is>
      </c>
      <c r="B87" s="6" t="inlineStr">
        <is>
          <t>OBJ</t>
        </is>
      </c>
      <c r="C87" s="6" t="inlineStr">
        <is>
          <t>Objet qui apparaît soudainement près du SDT</t>
        </is>
      </c>
      <c r="D87" s="6" t="inlineStr">
        <is>
          <t>Débris tombé d'un véhicule ou projeté, découvert tard.</t>
        </is>
      </c>
      <c r="E87" s="6" t="inlineStr">
        <is>
          <t>Highway</t>
        </is>
      </c>
      <c r="F87" s="6" t="inlineStr">
        <is>
          <t>HW-FOL, HW-ESL, HW-ELM, HW-CRU</t>
        </is>
      </c>
      <c r="G87" s="6">
        <f>IF(F87="",0,LEN(F87)-LEN(SUBSTITUTE(F87,",",""))+1)</f>
        <v/>
      </c>
      <c r="H87" s="6" t="inlineStr">
        <is>
          <t>O (obligatoire) : lost_cargo, tire_debris</t>
        </is>
      </c>
      <c r="I87" s="6" t="inlineStr">
        <is>
          <t>oui</t>
        </is>
      </c>
      <c r="J87" s="6" t="n">
        <v>64</v>
      </c>
      <c r="K87" s="6" t="n">
        <v>64</v>
      </c>
      <c r="L87" s="6" t="n">
        <v>0</v>
      </c>
      <c r="M87" s="6" t="inlineStr">
        <is>
          <t>#36 Object crash with prior vehicle maneuver</t>
        </is>
      </c>
      <c r="N87" s="6" t="inlineStr">
        <is>
          <t>H2</t>
        </is>
      </c>
      <c r="O87" s="6" t="inlineStr">
        <is>
          <t>TC-CRAWL-207, TC-CRAWL-271</t>
        </is>
      </c>
      <c r="P87" s="6" t="inlineStr"/>
      <c r="Q87" s="6" t="inlineStr">
        <is>
          <t>oui</t>
        </is>
      </c>
      <c r="R87" s="6" t="inlineStr">
        <is>
          <t>SERYTI catalogue v1 (PROPOSED)</t>
        </is>
      </c>
      <c r="S87" s="6" t="inlineStr">
        <is>
          <t>PROPOSED</t>
        </is>
      </c>
      <c r="T87" s="6" t="inlineStr"/>
      <c r="U87" s="6" t="inlineStr">
        <is>
          <t>§14 Stationary objects (partiel)</t>
        </is>
      </c>
    </row>
    <row r="88">
      <c r="A88" s="6" t="inlineStr">
        <is>
          <t>AB-01</t>
        </is>
      </c>
      <c r="B88" s="6" t="inlineStr">
        <is>
          <t>AB</t>
        </is>
      </c>
      <c r="C88" s="6" t="inlineStr">
        <is>
          <t>Conducteur à contresens</t>
        </is>
      </c>
      <c r="D88" s="6" t="inlineStr">
        <is>
          <t>Un véhicule arrive en sens inverse dans la voie du SDT.</t>
        </is>
      </c>
      <c r="E88" s="6" t="inlineStr">
        <is>
          <t>Highway</t>
        </is>
      </c>
      <c r="F88" s="6" t="inlineStr">
        <is>
          <t>HW-ESL, HW-ELM, HW-CSS</t>
        </is>
      </c>
      <c r="G88" s="6">
        <f>IF(F88="",0,LEN(F88)-LEN(SUBSTITUTE(F88,",",""))+1)</f>
        <v/>
      </c>
      <c r="H88" s="6" t="inlineStr"/>
      <c r="I88" s="6" t="inlineStr">
        <is>
          <t>jalon 2</t>
        </is>
      </c>
      <c r="J88" s="6" t="n"/>
      <c r="K88" s="6" t="n"/>
      <c r="L88" s="6" t="n"/>
      <c r="M88" s="6" t="inlineStr">
        <is>
          <t>#22 Vehicle(s) not making a maneuver, opposite direction</t>
        </is>
      </c>
      <c r="N88" s="6" t="inlineStr">
        <is>
          <t>H2</t>
        </is>
      </c>
      <c r="O88" s="6" t="inlineStr">
        <is>
          <t>TC-CRAWL-178</t>
        </is>
      </c>
      <c r="P88" s="6" t="inlineStr"/>
      <c r="Q88" s="6" t="inlineStr">
        <is>
          <t>non</t>
        </is>
      </c>
      <c r="R88" s="6" t="inlineStr">
        <is>
          <t>SERYTI catalogue v1 (PROPOSED)</t>
        </is>
      </c>
      <c r="S88" s="6" t="inlineStr">
        <is>
          <t>PROPOSED</t>
        </is>
      </c>
      <c r="T88" s="6" t="inlineStr"/>
      <c r="U88" s="6" t="inlineStr">
        <is>
          <t>§6 Oncoming (partiel)</t>
        </is>
      </c>
    </row>
    <row r="89">
      <c r="A89" s="6" t="inlineStr">
        <is>
          <t>AB-02</t>
        </is>
      </c>
      <c r="B89" s="6" t="inlineStr">
        <is>
          <t>AB</t>
        </is>
      </c>
      <c r="C89" s="6" t="inlineStr">
        <is>
          <t>Suiveur trop proche (tailgater)</t>
        </is>
      </c>
      <c r="D89" s="6" t="inlineStr">
        <is>
          <t>Un véhicule colle le SDT : tout freinage devient risqué.</t>
        </is>
      </c>
      <c r="E89" s="6" t="inlineStr">
        <is>
          <t>Highway</t>
        </is>
      </c>
      <c r="F89" s="6" t="inlineStr">
        <is>
          <t>HW-CRU, HW-FOL, HW-ESL, HW-CSS</t>
        </is>
      </c>
      <c r="G89" s="6">
        <f>IF(F89="",0,LEN(F89)-LEN(SUBSTITUTE(F89,",",""))+1)</f>
        <v/>
      </c>
      <c r="H89" s="6" t="inlineStr">
        <is>
          <t>C (obligatoire) : car, pickup</t>
        </is>
      </c>
      <c r="I89" s="6" t="inlineStr">
        <is>
          <t>oui</t>
        </is>
      </c>
      <c r="J89" s="6" t="n">
        <v>192</v>
      </c>
      <c r="K89" s="6" t="n">
        <v>176</v>
      </c>
      <c r="L89" s="6" t="n">
        <v>16</v>
      </c>
      <c r="M89" s="6" t="inlineStr">
        <is>
          <t>#23 Following vehicle making a maneuver</t>
        </is>
      </c>
      <c r="N89" s="6" t="inlineStr">
        <is>
          <t>H3</t>
        </is>
      </c>
      <c r="O89" s="6" t="inlineStr">
        <is>
          <t>TC-CRAWL-176</t>
        </is>
      </c>
      <c r="P89" s="6" t="inlineStr"/>
      <c r="Q89" s="6" t="inlineStr">
        <is>
          <t>non</t>
        </is>
      </c>
      <c r="R89" s="6" t="inlineStr">
        <is>
          <t>SERYTI catalogue v1 (PROPOSED)</t>
        </is>
      </c>
      <c r="S89" s="6" t="inlineStr">
        <is>
          <t>PROPOSED</t>
        </is>
      </c>
      <c r="T89" s="6" t="inlineStr"/>
      <c r="U89" s="6" t="inlineStr"/>
    </row>
    <row r="90">
      <c r="A90" s="6" t="inlineStr">
        <is>
          <t>AB-03</t>
        </is>
      </c>
      <c r="B90" s="6" t="inlineStr">
        <is>
          <t>AB</t>
        </is>
      </c>
      <c r="C90" s="6" t="inlineStr">
        <is>
          <t>Véhicule qui roule sur l'accotement</t>
        </is>
      </c>
      <c r="D90" s="6" t="inlineStr">
        <is>
          <t>Un véhicule double par l'accotement.</t>
        </is>
      </c>
      <c r="E90" s="6" t="inlineStr">
        <is>
          <t>Highway</t>
        </is>
      </c>
      <c r="F90" s="6" t="inlineStr">
        <is>
          <t>HW-CRU, HW-CSS</t>
        </is>
      </c>
      <c r="G90" s="6">
        <f>IF(F90="",0,LEN(F90)-LEN(SUBSTITUTE(F90,",",""))+1)</f>
        <v/>
      </c>
      <c r="H90" s="6" t="inlineStr">
        <is>
          <t>S (obligatoire) : car, pickup</t>
        </is>
      </c>
      <c r="I90" s="6" t="inlineStr">
        <is>
          <t>oui</t>
        </is>
      </c>
      <c r="J90" s="6" t="n">
        <v>128</v>
      </c>
      <c r="K90" s="6" t="n">
        <v>128</v>
      </c>
      <c r="L90" s="6" t="n">
        <v>0</v>
      </c>
      <c r="M90" s="6" t="inlineStr"/>
      <c r="N90" s="6" t="inlineStr">
        <is>
          <t>H1</t>
        </is>
      </c>
      <c r="O90" s="6" t="inlineStr">
        <is>
          <t>TC-CRAWL-177</t>
        </is>
      </c>
      <c r="P90" s="6" t="inlineStr"/>
      <c r="Q90" s="6" t="inlineStr">
        <is>
          <t>non</t>
        </is>
      </c>
      <c r="R90" s="6" t="inlineStr">
        <is>
          <t>SERYTI catalogue v1 (PROPOSED)</t>
        </is>
      </c>
      <c r="S90" s="6" t="inlineStr">
        <is>
          <t>PROPOSED</t>
        </is>
      </c>
      <c r="T90" s="6" t="inlineStr"/>
      <c r="U90" s="6" t="inlineStr"/>
    </row>
    <row r="91">
      <c r="A91" s="6" t="inlineStr">
        <is>
          <t>LC-ABT-01</t>
        </is>
      </c>
      <c r="B91" s="6" t="inlineStr">
        <is>
          <t>LC-ABT</t>
        </is>
      </c>
      <c r="C91" s="6" t="inlineStr">
        <is>
          <t>lane change abort and return</t>
        </is>
      </c>
      <c r="D91" s="6" t="inlineStr">
        <is>
          <t>A trigger (D accelerates, E merges, B brakes) appears after lateral motion started; SDT returns to the origin lane.</t>
        </is>
      </c>
      <c r="E91" s="6" t="inlineStr">
        <is>
          <t>Highway</t>
        </is>
      </c>
      <c r="F91" s="6" t="inlineStr">
        <is>
          <t>HW-LC</t>
        </is>
      </c>
      <c r="G91" s="6">
        <f>IF(F91="",0,LEN(F91)-LEN(SUBSTITUTE(F91,",",""))+1)</f>
        <v/>
      </c>
      <c r="H91" s="6" t="inlineStr">
        <is>
          <t>E (optionnel) : car · lane_change_into_target
D (optionnel) : car · accelerate
B (optionnel) : car · brake
C (optionnel) : car</t>
        </is>
      </c>
      <c r="I91" s="6" t="inlineStr">
        <is>
          <t>oui</t>
        </is>
      </c>
      <c r="J91" s="6" t="n">
        <v>334</v>
      </c>
      <c r="K91" s="6" t="n">
        <v>334</v>
      </c>
      <c r="L91" s="6" t="n">
        <v>0</v>
      </c>
      <c r="M91" s="6" t="inlineStr">
        <is>
          <t>#19 Vehicle(s) changing lanes, same direction</t>
        </is>
      </c>
      <c r="N91" s="6" t="inlineStr">
        <is>
          <t>H1, H5</t>
        </is>
      </c>
      <c r="O91" s="6" t="inlineStr">
        <is>
          <t>TC-CRAWL-175, TC-CRAWL-171, TC-CRAWL-227</t>
        </is>
      </c>
      <c r="P91" s="6" t="inlineStr">
        <is>
          <t>TORC-SYSRQ-14123, TORC-TXT-14209, TORC-SYSRQ-10197, TORC-SYSRQ-10640, TORC-SYSRQ-13836, TORC-SYSRQ-10651, TORC-SYSRQ-13830, TORC-SYSRQ-10628, TORC-SYSRQ-10647, TORC-SYSRQ-10652, TORC-SYSRQ-10629</t>
        </is>
      </c>
      <c r="Q91" s="6" t="inlineStr">
        <is>
          <t>non</t>
        </is>
      </c>
      <c r="R91" s="6" t="inlineStr">
        <is>
          <t>SERYTI Lane Change library v0</t>
        </is>
      </c>
      <c r="S91" s="6" t="inlineStr">
        <is>
          <t>PROPOSED</t>
        </is>
      </c>
      <c r="T91" s="6" t="inlineStr"/>
      <c r="U91" s="6" t="inlineStr"/>
    </row>
    <row r="92">
      <c r="A92" s="6" t="inlineStr">
        <is>
          <t>LC-ABT-02</t>
        </is>
      </c>
      <c r="B92" s="6" t="inlineStr">
        <is>
          <t>LC-ABT</t>
        </is>
      </c>
      <c r="C92" s="6" t="inlineStr">
        <is>
          <t>lane change interrupted by ddt fallback</t>
        </is>
      </c>
      <c r="D92" s="6" t="inlineStr">
        <is>
          <t>A system degradation requires MRM while SDT is mid lane change.</t>
        </is>
      </c>
      <c r="E92" s="6" t="inlineStr">
        <is>
          <t>Highway</t>
        </is>
      </c>
      <c r="F92" s="6" t="inlineStr">
        <is>
          <t>HW-LC, HW-CSS, HW-ESL</t>
        </is>
      </c>
      <c r="G92" s="6">
        <f>IF(F92="",0,LEN(F92)-LEN(SUBSTITUTE(F92,",",""))+1)</f>
        <v/>
      </c>
      <c r="H92" s="6" t="inlineStr">
        <is>
          <t>B (optionnel) : car
C (optionnel) : car
D (optionnel) : car</t>
        </is>
      </c>
      <c r="I92" s="6" t="inlineStr">
        <is>
          <t>oui</t>
        </is>
      </c>
      <c r="J92" s="6" t="n">
        <v>504</v>
      </c>
      <c r="K92" s="6" t="n">
        <v>504</v>
      </c>
      <c r="L92" s="6" t="n">
        <v>0</v>
      </c>
      <c r="M92" s="6" t="inlineStr">
        <is>
          <t>#2 Vehicle failure</t>
        </is>
      </c>
      <c r="N92" s="6" t="inlineStr">
        <is>
          <t>H1, H2, H3</t>
        </is>
      </c>
      <c r="O92" s="6" t="inlineStr">
        <is>
          <t>TC-CRAWL-232, TC-CRAWL-012, TC-CRAWL-251</t>
        </is>
      </c>
      <c r="P92" s="6" t="inlineStr">
        <is>
          <t>TORC-SYSRQ-14123, TORC-TXT-14209, TORC-SYSRQ-10197, TORC-SYSRQ-10640, TORC-SYSRQ-13836, TORC-SYSRQ-10651, TORC-SYSRQ-13830, TORC-SYSRQ-10628, TORC-SYSRQ-14127, TORC-SYSRQ-14126</t>
        </is>
      </c>
      <c r="Q92" s="6" t="inlineStr">
        <is>
          <t>non</t>
        </is>
      </c>
      <c r="R92" s="6" t="inlineStr">
        <is>
          <t>SERYTI Lane Change library v0</t>
        </is>
      </c>
      <c r="S92" s="6" t="inlineStr">
        <is>
          <t>PROPOSED</t>
        </is>
      </c>
      <c r="T92" s="6" t="inlineStr"/>
      <c r="U92" s="6" t="inlineStr"/>
    </row>
    <row r="93">
      <c r="A93" s="6" t="inlineStr">
        <is>
          <t>FB-01</t>
        </is>
      </c>
      <c r="B93" s="6" t="inlineStr">
        <is>
          <t>FB</t>
        </is>
      </c>
      <c r="C93" s="6" t="inlineStr">
        <is>
          <t>Dégradation système, accotement disponible</t>
        </is>
      </c>
      <c r="D93" s="6" t="inlineStr">
        <is>
          <t>Une dégradation impose de quitter la voie et de s'arrêter sur l'accotement.</t>
        </is>
      </c>
      <c r="E93" s="6" t="inlineStr">
        <is>
          <t>Highway</t>
        </is>
      </c>
      <c r="F93" s="6" t="inlineStr">
        <is>
          <t>HW-CSS</t>
        </is>
      </c>
      <c r="G93" s="6">
        <f>IF(F93="",0,LEN(F93)-LEN(SUBSTITUTE(F93,",",""))+1)</f>
        <v/>
      </c>
      <c r="H93" s="6" t="inlineStr">
        <is>
          <t>B (optionnel) : car
C (optionnel) : car</t>
        </is>
      </c>
      <c r="I93" s="6" t="inlineStr">
        <is>
          <t>oui</t>
        </is>
      </c>
      <c r="J93" s="6" t="n">
        <v>72</v>
      </c>
      <c r="K93" s="6" t="n">
        <v>72</v>
      </c>
      <c r="L93" s="6" t="n">
        <v>0</v>
      </c>
      <c r="M93" s="6" t="inlineStr">
        <is>
          <t>#2 Vehicle failure</t>
        </is>
      </c>
      <c r="N93" s="6" t="inlineStr">
        <is>
          <t>H3</t>
        </is>
      </c>
      <c r="O93" s="6" t="inlineStr"/>
      <c r="P93" s="6" t="inlineStr">
        <is>
          <t>TORC-SYSRQ-14127, TORC-SYSRQ-14130</t>
        </is>
      </c>
      <c r="Q93" s="6" t="inlineStr">
        <is>
          <t>non</t>
        </is>
      </c>
      <c r="R93" s="6" t="inlineStr">
        <is>
          <t>SERYTI catalogue v1 (PROPOSED)</t>
        </is>
      </c>
      <c r="S93" s="6" t="inlineStr">
        <is>
          <t>PROPOSED</t>
        </is>
      </c>
      <c r="T93" s="6" t="inlineStr"/>
      <c r="U93" s="6" t="inlineStr"/>
    </row>
    <row r="94">
      <c r="A94" s="6" t="inlineStr">
        <is>
          <t>FB-02</t>
        </is>
      </c>
      <c r="B94" s="6" t="inlineStr">
        <is>
          <t>FB</t>
        </is>
      </c>
      <c r="C94" s="6" t="inlineStr">
        <is>
          <t>Dégradation sans accotement disponible</t>
        </is>
      </c>
      <c r="D94" s="6" t="inlineStr">
        <is>
          <t>La dégradation impose un arrêt alors qu'aucun accotement n'est utilisable.</t>
        </is>
      </c>
      <c r="E94" s="6" t="inlineStr">
        <is>
          <t>Highway</t>
        </is>
      </c>
      <c r="F94" s="6" t="inlineStr">
        <is>
          <t>HW-ESL</t>
        </is>
      </c>
      <c r="G94" s="6">
        <f>IF(F94="",0,LEN(F94)-LEN(SUBSTITUTE(F94,",",""))+1)</f>
        <v/>
      </c>
      <c r="H94" s="6" t="inlineStr">
        <is>
          <t>C (optionnel) : car, tractor_trailer</t>
        </is>
      </c>
      <c r="I94" s="6" t="inlineStr">
        <is>
          <t>oui</t>
        </is>
      </c>
      <c r="J94" s="6" t="n">
        <v>64</v>
      </c>
      <c r="K94" s="6" t="n">
        <v>64</v>
      </c>
      <c r="L94" s="6" t="n">
        <v>0</v>
      </c>
      <c r="M94" s="6" t="inlineStr">
        <is>
          <t>#2 Vehicle failure</t>
        </is>
      </c>
      <c r="N94" s="6" t="inlineStr">
        <is>
          <t>H3</t>
        </is>
      </c>
      <c r="O94" s="6" t="inlineStr"/>
      <c r="P94" s="6" t="inlineStr">
        <is>
          <t>TORC-SYSRQ-14126, TORC-SYSRQ-14130</t>
        </is>
      </c>
      <c r="Q94" s="6" t="inlineStr">
        <is>
          <t>non</t>
        </is>
      </c>
      <c r="R94" s="6" t="inlineStr">
        <is>
          <t>SERYTI catalogue v1 (PROPOSED)</t>
        </is>
      </c>
      <c r="S94" s="6" t="inlineStr">
        <is>
          <t>PROPOSED</t>
        </is>
      </c>
      <c r="T94" s="6" t="inlineStr"/>
      <c r="U94" s="6" t="inlineStr"/>
    </row>
    <row r="95">
      <c r="A95" s="6" t="inlineStr">
        <is>
          <t>FB-03</t>
        </is>
      </c>
      <c r="B95" s="6" t="inlineStr">
        <is>
          <t>FB</t>
        </is>
      </c>
      <c r="C95" s="6" t="inlineStr">
        <is>
          <t>Accotement occupé au point d'arrêt prévu</t>
        </is>
      </c>
      <c r="D95" s="6" t="inlineStr">
        <is>
          <t>Un véhicule est déjà arrêté là où le SDT voulait s'arrêter (sortie « shoulder blocked » de SYSRQ-14127).</t>
        </is>
      </c>
      <c r="E95" s="6" t="inlineStr">
        <is>
          <t>Highway</t>
        </is>
      </c>
      <c r="F95" s="6" t="inlineStr">
        <is>
          <t>HW-CSS</t>
        </is>
      </c>
      <c r="G95" s="6">
        <f>IF(F95="",0,LEN(F95)-LEN(SUBSTITUTE(F95,",",""))+1)</f>
        <v/>
      </c>
      <c r="H95" s="6" t="inlineStr">
        <is>
          <t>S (obligatoire) : stopped_vehicle, tractor_trailer</t>
        </is>
      </c>
      <c r="I95" s="6" t="inlineStr">
        <is>
          <t>oui</t>
        </is>
      </c>
      <c r="J95" s="6" t="n">
        <v>48</v>
      </c>
      <c r="K95" s="6" t="n">
        <v>48</v>
      </c>
      <c r="L95" s="6" t="n">
        <v>0</v>
      </c>
      <c r="M95" s="6" t="inlineStr"/>
      <c r="N95" s="6" t="inlineStr">
        <is>
          <t>H1, H2</t>
        </is>
      </c>
      <c r="O95" s="6" t="inlineStr"/>
      <c r="P95" s="6" t="inlineStr">
        <is>
          <t>TORC-SYSRQ-14127</t>
        </is>
      </c>
      <c r="Q95" s="6" t="inlineStr">
        <is>
          <t>non</t>
        </is>
      </c>
      <c r="R95" s="6" t="inlineStr">
        <is>
          <t>SERYTI catalogue v1 (PROPOSED)</t>
        </is>
      </c>
      <c r="S95" s="6" t="inlineStr">
        <is>
          <t>PROPOSED</t>
        </is>
      </c>
      <c r="T95" s="6" t="inlineStr"/>
      <c r="U95" s="6" t="inlineStr"/>
    </row>
    <row r="96">
      <c r="A96" s="6" t="inlineStr">
        <is>
          <t>FB-04</t>
        </is>
      </c>
      <c r="B96" s="6" t="inlineStr">
        <is>
          <t>FB</t>
        </is>
      </c>
      <c r="C96" s="6" t="inlineStr">
        <is>
          <t>Arrêt en voie avec un suiveur rapide</t>
        </is>
      </c>
      <c r="D96" s="6" t="inlineStr">
        <is>
          <t>Le SDT s'arrête en voie alors qu'un véhicule arrive vite derrière.</t>
        </is>
      </c>
      <c r="E96" s="6" t="inlineStr">
        <is>
          <t>Highway</t>
        </is>
      </c>
      <c r="F96" s="6" t="inlineStr">
        <is>
          <t>HW-ESL</t>
        </is>
      </c>
      <c r="G96" s="6">
        <f>IF(F96="",0,LEN(F96)-LEN(SUBSTITUTE(F96,",",""))+1)</f>
        <v/>
      </c>
      <c r="H96" s="6" t="inlineStr">
        <is>
          <t>C (obligatoire) : car, tractor_trailer</t>
        </is>
      </c>
      <c r="I96" s="6" t="inlineStr">
        <is>
          <t>oui</t>
        </is>
      </c>
      <c r="J96" s="6" t="n">
        <v>48</v>
      </c>
      <c r="K96" s="6" t="n">
        <v>48</v>
      </c>
      <c r="L96" s="6" t="n">
        <v>0</v>
      </c>
      <c r="M96" s="6" t="inlineStr">
        <is>
          <t>#23 Following vehicle making a maneuver</t>
        </is>
      </c>
      <c r="N96" s="6" t="inlineStr">
        <is>
          <t>H3</t>
        </is>
      </c>
      <c r="O96" s="6" t="inlineStr"/>
      <c r="P96" s="6" t="inlineStr">
        <is>
          <t>TORC-SYSRQ-14126, TORC-SYSRQ-14130</t>
        </is>
      </c>
      <c r="Q96" s="6" t="inlineStr">
        <is>
          <t>non</t>
        </is>
      </c>
      <c r="R96" s="6" t="inlineStr">
        <is>
          <t>SERYTI catalogue v1 (PROPOSED)</t>
        </is>
      </c>
      <c r="S96" s="6" t="inlineStr">
        <is>
          <t>PROPOSED</t>
        </is>
      </c>
      <c r="T96" s="6" t="inlineStr"/>
      <c r="U96" s="6" t="inlineStr"/>
    </row>
    <row r="97">
      <c r="A97" s="6" t="inlineStr">
        <is>
          <t>FB-05</t>
        </is>
      </c>
      <c r="B97" s="6" t="inlineStr">
        <is>
          <t>FB</t>
        </is>
      </c>
      <c r="C97" s="6" t="inlineStr">
        <is>
          <t>Évitement latéral d'urgence, voie adjacente libre</t>
        </is>
      </c>
      <c r="D97" s="6" t="inlineStr">
        <is>
          <t>Obstacle découvert tard, la voie voisine est libre.</t>
        </is>
      </c>
      <c r="E97" s="6" t="inlineStr">
        <is>
          <t>Highway</t>
        </is>
      </c>
      <c r="F97" s="6" t="inlineStr">
        <is>
          <t>HW-ELM</t>
        </is>
      </c>
      <c r="G97" s="6">
        <f>IF(F97="",0,LEN(F97)-LEN(SUBSTITUTE(F97,",",""))+1)</f>
        <v/>
      </c>
      <c r="H97" s="6" t="inlineStr">
        <is>
          <t>O (obligatoire) : lost_cargo, stopped_vehicle</t>
        </is>
      </c>
      <c r="I97" s="6" t="inlineStr">
        <is>
          <t>oui</t>
        </is>
      </c>
      <c r="J97" s="6" t="n">
        <v>24</v>
      </c>
      <c r="K97" s="6" t="n">
        <v>24</v>
      </c>
      <c r="L97" s="6" t="n">
        <v>0</v>
      </c>
      <c r="M97" s="6" t="inlineStr">
        <is>
          <t>#33 Evasive action with prior vehicle maneuver, #34 Evasive action without prior vehicle maneuver</t>
        </is>
      </c>
      <c r="N97" s="6" t="inlineStr">
        <is>
          <t>H2, H5</t>
        </is>
      </c>
      <c r="O97" s="6" t="inlineStr"/>
      <c r="P97" s="6" t="inlineStr"/>
      <c r="Q97" s="6" t="inlineStr">
        <is>
          <t>non</t>
        </is>
      </c>
      <c r="R97" s="6" t="inlineStr">
        <is>
          <t>SERYTI catalogue v1 (PROPOSED)</t>
        </is>
      </c>
      <c r="S97" s="6" t="inlineStr">
        <is>
          <t>PROPOSED</t>
        </is>
      </c>
      <c r="T97" s="6" t="inlineStr"/>
      <c r="U97" s="6" t="inlineStr"/>
    </row>
    <row r="98">
      <c r="A98" s="6" t="inlineStr">
        <is>
          <t>FB-06</t>
        </is>
      </c>
      <c r="B98" s="6" t="inlineStr">
        <is>
          <t>FB</t>
        </is>
      </c>
      <c r="C98" s="6" t="inlineStr">
        <is>
          <t>Évitement latéral d'urgence, voie adjacente occupée</t>
        </is>
      </c>
      <c r="D98" s="6" t="inlineStr">
        <is>
          <t>Obstacle découvert tard, un véhicule occupe la voie voisine.</t>
        </is>
      </c>
      <c r="E98" s="6" t="inlineStr">
        <is>
          <t>Highway</t>
        </is>
      </c>
      <c r="F98" s="6" t="inlineStr">
        <is>
          <t>HW-ELM</t>
        </is>
      </c>
      <c r="G98" s="6">
        <f>IF(F98="",0,LEN(F98)-LEN(SUBSTITUTE(F98,",",""))+1)</f>
        <v/>
      </c>
      <c r="H98" s="6" t="inlineStr">
        <is>
          <t>O (obligatoire) : lost_cargo, stopped_vehicle
D (obligatoire) : car
B (optionnel) : car</t>
        </is>
      </c>
      <c r="I98" s="6" t="inlineStr">
        <is>
          <t>oui</t>
        </is>
      </c>
      <c r="J98" s="6" t="n">
        <v>32</v>
      </c>
      <c r="K98" s="6" t="n">
        <v>32</v>
      </c>
      <c r="L98" s="6" t="n">
        <v>0</v>
      </c>
      <c r="M98" s="6" t="inlineStr">
        <is>
          <t>#33 Evasive action with prior vehicle maneuver</t>
        </is>
      </c>
      <c r="N98" s="6" t="inlineStr">
        <is>
          <t>H1, H2</t>
        </is>
      </c>
      <c r="O98" s="6" t="inlineStr"/>
      <c r="P98" s="6" t="inlineStr"/>
      <c r="Q98" s="6" t="inlineStr">
        <is>
          <t>non</t>
        </is>
      </c>
      <c r="R98" s="6" t="inlineStr">
        <is>
          <t>SERYTI catalogue v1 (PROPOSED)</t>
        </is>
      </c>
      <c r="S98" s="6" t="inlineStr">
        <is>
          <t>PROPOSED</t>
        </is>
      </c>
      <c r="T98" s="6" t="inlineStr"/>
      <c r="U98" s="6" t="inlineStr"/>
    </row>
    <row r="99">
      <c r="A99" s="6" t="inlineStr">
        <is>
          <t>FB-07</t>
        </is>
      </c>
      <c r="B99" s="6" t="inlineStr">
        <is>
          <t>FB</t>
        </is>
      </c>
      <c r="C99" s="6" t="inlineStr">
        <is>
          <t>Commande d'arrêt en voie à distance (HICD)</t>
        </is>
      </c>
      <c r="D99" s="6" t="inlineStr">
        <is>
          <t>Un opérateur demande un arrêt en voie (MRM-E).</t>
        </is>
      </c>
      <c r="E99" s="6" t="inlineStr">
        <is>
          <t>Highway</t>
        </is>
      </c>
      <c r="F99" s="6" t="inlineStr">
        <is>
          <t>HW-ESL, URB-SIL</t>
        </is>
      </c>
      <c r="G99" s="6">
        <f>IF(F99="",0,LEN(F99)-LEN(SUBSTITUTE(F99,",",""))+1)</f>
        <v/>
      </c>
      <c r="H99" s="6" t="inlineStr">
        <is>
          <t>C (optionnel) : car</t>
        </is>
      </c>
      <c r="I99" s="6" t="inlineStr">
        <is>
          <t>oui</t>
        </is>
      </c>
      <c r="J99" s="6" t="n">
        <v>8</v>
      </c>
      <c r="K99" s="6" t="n">
        <v>8</v>
      </c>
      <c r="L99" s="6" t="n">
        <v>0</v>
      </c>
      <c r="M99" s="6" t="inlineStr"/>
      <c r="N99" s="6" t="inlineStr">
        <is>
          <t>H3</t>
        </is>
      </c>
      <c r="O99" s="6" t="inlineStr"/>
      <c r="P99" s="6" t="inlineStr">
        <is>
          <t>TORC-FSR-3752, TORC-SYSRQ-14126</t>
        </is>
      </c>
      <c r="Q99" s="6" t="inlineStr">
        <is>
          <t>non</t>
        </is>
      </c>
      <c r="R99" s="6" t="inlineStr">
        <is>
          <t>SERYTI catalogue v1 (PROPOSED)</t>
        </is>
      </c>
      <c r="S99" s="6" t="inlineStr">
        <is>
          <t>PROPOSED</t>
        </is>
      </c>
      <c r="T99" s="6" t="inlineStr"/>
      <c r="U99" s="6" t="inlineStr"/>
    </row>
    <row r="100">
      <c r="A100" s="6" t="inlineStr">
        <is>
          <t>FB-08</t>
        </is>
      </c>
      <c r="B100" s="6" t="inlineStr">
        <is>
          <t>FB</t>
        </is>
      </c>
      <c r="C100" s="6" t="inlineStr">
        <is>
          <t>Reprise de la circulation après un arrêt sur l'accotement</t>
        </is>
      </c>
      <c r="D100" s="6" t="inlineStr">
        <is>
          <t>Le SDT repart de l'accotement et s'insère dans le trafic.</t>
        </is>
      </c>
      <c r="E100" s="6" t="inlineStr">
        <is>
          <t>Highway</t>
        </is>
      </c>
      <c r="F100" s="6" t="inlineStr">
        <is>
          <t>HW-CSS</t>
        </is>
      </c>
      <c r="G100" s="6">
        <f>IF(F100="",0,LEN(F100)-LEN(SUBSTITUTE(F100,",",""))+1)</f>
        <v/>
      </c>
      <c r="H100" s="6" t="inlineStr"/>
      <c r="I100" s="6" t="inlineStr">
        <is>
          <t>jalon 2</t>
        </is>
      </c>
      <c r="J100" s="6" t="n"/>
      <c r="K100" s="6" t="n"/>
      <c r="L100" s="6" t="n"/>
      <c r="M100" s="6" t="inlineStr"/>
      <c r="N100" s="6" t="inlineStr">
        <is>
          <t>H1, H3</t>
        </is>
      </c>
      <c r="O100" s="6" t="inlineStr"/>
      <c r="P100" s="6" t="inlineStr">
        <is>
          <t>TORC-SYSRQ-14127</t>
        </is>
      </c>
      <c r="Q100" s="6" t="inlineStr">
        <is>
          <t>non</t>
        </is>
      </c>
      <c r="R100" s="6" t="inlineStr">
        <is>
          <t>SERYTI catalogue v1 (PROPOSED)</t>
        </is>
      </c>
      <c r="S100" s="6" t="inlineStr">
        <is>
          <t>PROPOSED</t>
        </is>
      </c>
      <c r="T100" s="6" t="inlineStr"/>
      <c r="U100" s="6" t="inlineStr"/>
    </row>
    <row r="101">
      <c r="A101" s="6" t="inlineStr">
        <is>
          <t>URB-01</t>
        </is>
      </c>
      <c r="B101" s="6" t="inlineStr">
        <is>
          <t>URB</t>
        </is>
      </c>
      <c r="C101" s="6" t="inlineStr">
        <is>
          <t>Feu vert, traversée tout droit</t>
        </is>
      </c>
      <c r="D101" s="6" t="inlineStr">
        <is>
          <t>Le SDT traverse une intersection à feux au vert.</t>
        </is>
      </c>
      <c r="E101" s="6" t="inlineStr">
        <is>
          <t>Urban</t>
        </is>
      </c>
      <c r="F101" s="6" t="inlineStr">
        <is>
          <t>URB-STR</t>
        </is>
      </c>
      <c r="G101" s="6">
        <f>IF(F101="",0,LEN(F101)-LEN(SUBSTITUTE(F101,",",""))+1)</f>
        <v/>
      </c>
      <c r="H101" s="6" t="inlineStr"/>
      <c r="I101" s="6" t="inlineStr">
        <is>
          <t>jalon 2</t>
        </is>
      </c>
      <c r="J101" s="6" t="n"/>
      <c r="K101" s="6" t="n"/>
      <c r="L101" s="6" t="n"/>
      <c r="M101" s="6" t="inlineStr"/>
      <c r="N101" s="6" t="inlineStr">
        <is>
          <t>H2</t>
        </is>
      </c>
      <c r="O101" s="6" t="inlineStr"/>
      <c r="P101" s="6" t="inlineStr"/>
      <c r="Q101" s="6" t="inlineStr">
        <is>
          <t>non</t>
        </is>
      </c>
      <c r="R101" s="6" t="inlineStr">
        <is>
          <t>SERYTI catalogue v1 (PROPOSED)</t>
        </is>
      </c>
      <c r="S101" s="6" t="inlineStr">
        <is>
          <t>PROPOSED</t>
        </is>
      </c>
      <c r="T101" s="6" t="inlineStr"/>
      <c r="U101" s="6" t="inlineStr"/>
    </row>
    <row r="102">
      <c r="A102" s="6" t="inlineStr">
        <is>
          <t>URB-02</t>
        </is>
      </c>
      <c r="B102" s="6" t="inlineStr">
        <is>
          <t>URB</t>
        </is>
      </c>
      <c r="C102" s="6" t="inlineStr">
        <is>
          <t>Véhicule qui grille le feu rouge</t>
        </is>
      </c>
      <c r="D102" s="6" t="inlineStr">
        <is>
          <t>Un véhicule transversal passe au rouge pendant que le SDT traverse.</t>
        </is>
      </c>
      <c r="E102" s="6" t="inlineStr">
        <is>
          <t>Urban</t>
        </is>
      </c>
      <c r="F102" s="6" t="inlineStr">
        <is>
          <t>URB-STR, URB-TRN</t>
        </is>
      </c>
      <c r="G102" s="6">
        <f>IF(F102="",0,LEN(F102)-LEN(SUBSTITUTE(F102,",",""))+1)</f>
        <v/>
      </c>
      <c r="H102" s="6" t="inlineStr"/>
      <c r="I102" s="6" t="inlineStr">
        <is>
          <t>jalon 2</t>
        </is>
      </c>
      <c r="J102" s="6" t="n"/>
      <c r="K102" s="6" t="n"/>
      <c r="L102" s="6" t="n"/>
      <c r="M102" s="6" t="inlineStr">
        <is>
          <t>#5 Running red light</t>
        </is>
      </c>
      <c r="N102" s="6" t="inlineStr">
        <is>
          <t>H1</t>
        </is>
      </c>
      <c r="O102" s="6" t="inlineStr">
        <is>
          <t>TC-CRAWL-264</t>
        </is>
      </c>
      <c r="P102" s="6" t="inlineStr"/>
      <c r="Q102" s="6" t="inlineStr">
        <is>
          <t>non</t>
        </is>
      </c>
      <c r="R102" s="6" t="inlineStr">
        <is>
          <t>SERYTI catalogue v1 (PROPOSED)</t>
        </is>
      </c>
      <c r="S102" s="6" t="inlineStr">
        <is>
          <t>PROPOSED</t>
        </is>
      </c>
      <c r="T102" s="6" t="inlineStr"/>
      <c r="U102" s="6" t="inlineStr">
        <is>
          <t>§3 Interceptor (partiel)</t>
        </is>
      </c>
    </row>
    <row r="103">
      <c r="A103" s="6" t="inlineStr">
        <is>
          <t>URB-03</t>
        </is>
      </c>
      <c r="B103" s="6" t="inlineStr">
        <is>
          <t>URB</t>
        </is>
      </c>
      <c r="C103" s="6" t="inlineStr">
        <is>
          <t>Stop à 4 voies, ordre d'arrivée ambigu</t>
        </is>
      </c>
      <c r="D103" s="6" t="inlineStr">
        <is>
          <t>Plusieurs véhicules arrivent en même temps à un stop.</t>
        </is>
      </c>
      <c r="E103" s="6" t="inlineStr">
        <is>
          <t>Urban</t>
        </is>
      </c>
      <c r="F103" s="6" t="inlineStr">
        <is>
          <t>URB-STR, URB-TRN</t>
        </is>
      </c>
      <c r="G103" s="6">
        <f>IF(F103="",0,LEN(F103)-LEN(SUBSTITUTE(F103,",",""))+1)</f>
        <v/>
      </c>
      <c r="H103" s="6" t="inlineStr"/>
      <c r="I103" s="6" t="inlineStr">
        <is>
          <t>jalon 2</t>
        </is>
      </c>
      <c r="J103" s="6" t="n"/>
      <c r="K103" s="6" t="n"/>
      <c r="L103" s="6" t="n"/>
      <c r="M103" s="6" t="inlineStr">
        <is>
          <t>#6 Running stop sign, #31 Straight crossing paths at non-signalized junctions</t>
        </is>
      </c>
      <c r="N103" s="6" t="inlineStr">
        <is>
          <t>H1</t>
        </is>
      </c>
      <c r="O103" s="6" t="inlineStr">
        <is>
          <t>TC-CRAWL-018</t>
        </is>
      </c>
      <c r="P103" s="6" t="inlineStr"/>
      <c r="Q103" s="6" t="inlineStr">
        <is>
          <t>non</t>
        </is>
      </c>
      <c r="R103" s="6" t="inlineStr">
        <is>
          <t>SERYTI catalogue v1 (PROPOSED)</t>
        </is>
      </c>
      <c r="S103" s="6" t="inlineStr">
        <is>
          <t>PROPOSED</t>
        </is>
      </c>
      <c r="T103" s="6" t="inlineStr"/>
      <c r="U103" s="6" t="inlineStr">
        <is>
          <t>§3 Interceptor (partiel)</t>
        </is>
      </c>
    </row>
    <row r="104">
      <c r="A104" s="6" t="inlineStr">
        <is>
          <t>URB-04</t>
        </is>
      </c>
      <c r="B104" s="6" t="inlineStr">
        <is>
          <t>URB</t>
        </is>
      </c>
      <c r="C104" s="6" t="inlineStr">
        <is>
          <t>Tourne-à-gauche non protégé, trafic en face</t>
        </is>
      </c>
      <c r="D104" s="6" t="inlineStr">
        <is>
          <t>Le SDT tourne à gauche face à un flux opposé.</t>
        </is>
      </c>
      <c r="E104" s="6" t="inlineStr">
        <is>
          <t>Urban</t>
        </is>
      </c>
      <c r="F104" s="6" t="inlineStr">
        <is>
          <t>URB-TRN</t>
        </is>
      </c>
      <c r="G104" s="6">
        <f>IF(F104="",0,LEN(F104)-LEN(SUBSTITUTE(F104,",",""))+1)</f>
        <v/>
      </c>
      <c r="H104" s="6" t="inlineStr"/>
      <c r="I104" s="6" t="inlineStr">
        <is>
          <t>jalon 2</t>
        </is>
      </c>
      <c r="J104" s="6" t="n"/>
      <c r="K104" s="6" t="n"/>
      <c r="L104" s="6" t="n"/>
      <c r="M104" s="6" t="inlineStr">
        <is>
          <t>#28 LTAP/OD at signalized junctions, #30 LTAP/OD at non-signalized junctions</t>
        </is>
      </c>
      <c r="N104" s="6" t="inlineStr">
        <is>
          <t>H1</t>
        </is>
      </c>
      <c r="O104" s="6" t="inlineStr"/>
      <c r="P104" s="6" t="inlineStr"/>
      <c r="Q104" s="6" t="inlineStr">
        <is>
          <t>non</t>
        </is>
      </c>
      <c r="R104" s="6" t="inlineStr">
        <is>
          <t>SERYTI catalogue v1 (PROPOSED)</t>
        </is>
      </c>
      <c r="S104" s="6" t="inlineStr">
        <is>
          <t>PROPOSED</t>
        </is>
      </c>
      <c r="T104" s="6" t="inlineStr"/>
      <c r="U104" s="6" t="inlineStr"/>
    </row>
    <row r="105">
      <c r="A105" s="6" t="inlineStr">
        <is>
          <t>URB-05</t>
        </is>
      </c>
      <c r="B105" s="6" t="inlineStr">
        <is>
          <t>URB</t>
        </is>
      </c>
      <c r="C105" s="6" t="inlineStr">
        <is>
          <t>Tourne-à-droite avec piéton sur le passage</t>
        </is>
      </c>
      <c r="D105" s="6" t="inlineStr">
        <is>
          <t>Un piéton traverse la rue dans laquelle le SDT tourne.</t>
        </is>
      </c>
      <c r="E105" s="6" t="inlineStr">
        <is>
          <t>Urban</t>
        </is>
      </c>
      <c r="F105" s="6" t="inlineStr">
        <is>
          <t>URB-TRN, URB-XWK</t>
        </is>
      </c>
      <c r="G105" s="6">
        <f>IF(F105="",0,LEN(F105)-LEN(SUBSTITUTE(F105,",",""))+1)</f>
        <v/>
      </c>
      <c r="H105" s="6" t="inlineStr"/>
      <c r="I105" s="6" t="inlineStr">
        <is>
          <t>jalon 2</t>
        </is>
      </c>
      <c r="J105" s="6" t="n"/>
      <c r="K105" s="6" t="n"/>
      <c r="L105" s="6" t="n"/>
      <c r="M105" s="6" t="inlineStr">
        <is>
          <t>#12 Pedestrian crash with prior vehicle maneuver, #29 Vehicle(s) turning right at signalized junctions</t>
        </is>
      </c>
      <c r="N105" s="6" t="inlineStr">
        <is>
          <t>H2</t>
        </is>
      </c>
      <c r="O105" s="6" t="inlineStr">
        <is>
          <t>TC-CRAWL-202</t>
        </is>
      </c>
      <c r="P105" s="6" t="inlineStr"/>
      <c r="Q105" s="6" t="inlineStr">
        <is>
          <t>non</t>
        </is>
      </c>
      <c r="R105" s="6" t="inlineStr">
        <is>
          <t>SERYTI catalogue v1 (PROPOSED)</t>
        </is>
      </c>
      <c r="S105" s="6" t="inlineStr">
        <is>
          <t>PROPOSED</t>
        </is>
      </c>
      <c r="T105" s="6" t="inlineStr"/>
      <c r="U105" s="6" t="inlineStr"/>
    </row>
    <row r="106">
      <c r="A106" s="6" t="inlineStr">
        <is>
          <t>URB-06</t>
        </is>
      </c>
      <c r="B106" s="6" t="inlineStr">
        <is>
          <t>URB</t>
        </is>
      </c>
      <c r="C106" s="6" t="inlineStr">
        <is>
          <t>Tourne-à-droite : remorque qui coupe le trottoir, cycliste à droite</t>
        </is>
      </c>
      <c r="D106" s="6" t="inlineStr">
        <is>
          <t>Le balayage de la remorque menace un cycliste ou le trottoir.</t>
        </is>
      </c>
      <c r="E106" s="6" t="inlineStr">
        <is>
          <t>Urban</t>
        </is>
      </c>
      <c r="F106" s="6" t="inlineStr">
        <is>
          <t>URB-TRN</t>
        </is>
      </c>
      <c r="G106" s="6">
        <f>IF(F106="",0,LEN(F106)-LEN(SUBSTITUTE(F106,",",""))+1)</f>
        <v/>
      </c>
      <c r="H106" s="6" t="inlineStr"/>
      <c r="I106" s="6" t="inlineStr">
        <is>
          <t>jalon 2</t>
        </is>
      </c>
      <c r="J106" s="6" t="n"/>
      <c r="K106" s="6" t="n"/>
      <c r="L106" s="6" t="n"/>
      <c r="M106" s="6" t="inlineStr">
        <is>
          <t>#14 Pedalcyclist crash with prior vehicle maneuver</t>
        </is>
      </c>
      <c r="N106" s="6" t="inlineStr">
        <is>
          <t>H1</t>
        </is>
      </c>
      <c r="O106" s="6" t="inlineStr">
        <is>
          <t>TC-CRAWL-203</t>
        </is>
      </c>
      <c r="P106" s="6" t="inlineStr"/>
      <c r="Q106" s="6" t="inlineStr">
        <is>
          <t>non</t>
        </is>
      </c>
      <c r="R106" s="6" t="inlineStr">
        <is>
          <t>SERYTI catalogue v1 (PROPOSED)</t>
        </is>
      </c>
      <c r="S106" s="6" t="inlineStr">
        <is>
          <t>PROPOSED</t>
        </is>
      </c>
      <c r="T106" s="6" t="inlineStr"/>
      <c r="U106" s="6" t="inlineStr"/>
    </row>
    <row r="107">
      <c r="A107" s="6" t="inlineStr">
        <is>
          <t>URB-07</t>
        </is>
      </c>
      <c r="B107" s="6" t="inlineStr">
        <is>
          <t>URB</t>
        </is>
      </c>
      <c r="C107" s="6" t="inlineStr">
        <is>
          <t>Trafic transversal à une intersection sans feux</t>
        </is>
      </c>
      <c r="D107" s="6" t="inlineStr">
        <is>
          <t>Un véhicule transversal ne cède pas.</t>
        </is>
      </c>
      <c r="E107" s="6" t="inlineStr">
        <is>
          <t>Urban</t>
        </is>
      </c>
      <c r="F107" s="6" t="inlineStr">
        <is>
          <t>URB-STR</t>
        </is>
      </c>
      <c r="G107" s="6">
        <f>IF(F107="",0,LEN(F107)-LEN(SUBSTITUTE(F107,",",""))+1)</f>
        <v/>
      </c>
      <c r="H107" s="6" t="inlineStr"/>
      <c r="I107" s="6" t="inlineStr">
        <is>
          <t>jalon 2</t>
        </is>
      </c>
      <c r="J107" s="6" t="n"/>
      <c r="K107" s="6" t="n"/>
      <c r="L107" s="6" t="n"/>
      <c r="M107" s="6" t="inlineStr">
        <is>
          <t>#31 Straight crossing paths at non-signalized junctions</t>
        </is>
      </c>
      <c r="N107" s="6" t="inlineStr">
        <is>
          <t>H1</t>
        </is>
      </c>
      <c r="O107" s="6" t="inlineStr">
        <is>
          <t>TC-CRAWL-143</t>
        </is>
      </c>
      <c r="P107" s="6" t="inlineStr"/>
      <c r="Q107" s="6" t="inlineStr">
        <is>
          <t>non</t>
        </is>
      </c>
      <c r="R107" s="6" t="inlineStr">
        <is>
          <t>SERYTI catalogue v1 (PROPOSED)</t>
        </is>
      </c>
      <c r="S107" s="6" t="inlineStr">
        <is>
          <t>PROPOSED</t>
        </is>
      </c>
      <c r="T107" s="6" t="inlineStr"/>
      <c r="U107" s="6" t="inlineStr">
        <is>
          <t>§3 Interceptor (partiel)</t>
        </is>
      </c>
    </row>
    <row r="108">
      <c r="A108" s="6" t="inlineStr">
        <is>
          <t>URB-08</t>
        </is>
      </c>
      <c r="B108" s="6" t="inlineStr">
        <is>
          <t>URB</t>
        </is>
      </c>
      <c r="C108" s="6" t="inlineStr">
        <is>
          <t>Piéton qui attend ou s'engage sur un passage</t>
        </is>
      </c>
      <c r="D108" s="6" t="inlineStr">
        <is>
          <t>Un piéton au bord ou sur le passage piéton.</t>
        </is>
      </c>
      <c r="E108" s="6" t="inlineStr">
        <is>
          <t>Urban</t>
        </is>
      </c>
      <c r="F108" s="6" t="inlineStr">
        <is>
          <t>URB-XWK</t>
        </is>
      </c>
      <c r="G108" s="6">
        <f>IF(F108="",0,LEN(F108)-LEN(SUBSTITUTE(F108,",",""))+1)</f>
        <v/>
      </c>
      <c r="H108" s="6" t="inlineStr"/>
      <c r="I108" s="6" t="inlineStr">
        <is>
          <t>jalon 2</t>
        </is>
      </c>
      <c r="J108" s="6" t="n"/>
      <c r="K108" s="6" t="n"/>
      <c r="L108" s="6" t="n"/>
      <c r="M108" s="6" t="inlineStr">
        <is>
          <t>#12 Pedestrian crash with prior vehicle maneuver, #13 Pedestrian crash without prior vehicle maneuver</t>
        </is>
      </c>
      <c r="N108" s="6" t="inlineStr">
        <is>
          <t>H2</t>
        </is>
      </c>
      <c r="O108" s="6" t="inlineStr">
        <is>
          <t>TC-CRAWL-202, TC-CRAWL-203</t>
        </is>
      </c>
      <c r="P108" s="6" t="inlineStr"/>
      <c r="Q108" s="6" t="inlineStr">
        <is>
          <t>non</t>
        </is>
      </c>
      <c r="R108" s="6" t="inlineStr">
        <is>
          <t>SERYTI catalogue v1 (PROPOSED)</t>
        </is>
      </c>
      <c r="S108" s="6" t="inlineStr">
        <is>
          <t>PROPOSED</t>
        </is>
      </c>
      <c r="T108" s="6" t="inlineStr"/>
      <c r="U108" s="6" t="inlineStr"/>
    </row>
    <row r="109">
      <c r="A109" s="6" t="inlineStr">
        <is>
          <t>URB-09</t>
        </is>
      </c>
      <c r="B109" s="6" t="inlineStr">
        <is>
          <t>URB</t>
        </is>
      </c>
      <c r="C109" s="6" t="inlineStr">
        <is>
          <t>Piéton masqué par un véhicule garé</t>
        </is>
      </c>
      <c r="D109" s="6" t="inlineStr">
        <is>
          <t>Un piéton surgit de derrière un véhicule stationné.</t>
        </is>
      </c>
      <c r="E109" s="6" t="inlineStr">
        <is>
          <t>Urban</t>
        </is>
      </c>
      <c r="F109" s="6" t="inlineStr">
        <is>
          <t>URB-XWK, URB-CRU</t>
        </is>
      </c>
      <c r="G109" s="6">
        <f>IF(F109="",0,LEN(F109)-LEN(SUBSTITUTE(F109,",",""))+1)</f>
        <v/>
      </c>
      <c r="H109" s="6" t="inlineStr"/>
      <c r="I109" s="6" t="inlineStr">
        <is>
          <t>jalon 2</t>
        </is>
      </c>
      <c r="J109" s="6" t="n"/>
      <c r="K109" s="6" t="n"/>
      <c r="L109" s="6" t="n"/>
      <c r="M109" s="6" t="inlineStr">
        <is>
          <t>#13 Pedestrian crash without prior vehicle maneuver</t>
        </is>
      </c>
      <c r="N109" s="6" t="inlineStr">
        <is>
          <t>H2</t>
        </is>
      </c>
      <c r="O109" s="6" t="inlineStr">
        <is>
          <t>TC-CRAWL-206</t>
        </is>
      </c>
      <c r="P109" s="6" t="inlineStr"/>
      <c r="Q109" s="6" t="inlineStr">
        <is>
          <t>oui</t>
        </is>
      </c>
      <c r="R109" s="6" t="inlineStr">
        <is>
          <t>SERYTI catalogue v1 (PROPOSED)</t>
        </is>
      </c>
      <c r="S109" s="6" t="inlineStr">
        <is>
          <t>PROPOSED</t>
        </is>
      </c>
      <c r="T109" s="6" t="inlineStr"/>
      <c r="U109" s="6" t="inlineStr"/>
    </row>
    <row r="110">
      <c r="A110" s="6" t="inlineStr">
        <is>
          <t>URB-10</t>
        </is>
      </c>
      <c r="B110" s="6" t="inlineStr">
        <is>
          <t>URB</t>
        </is>
      </c>
      <c r="C110" s="6" t="inlineStr">
        <is>
          <t>Cycliste dans la voie</t>
        </is>
      </c>
      <c r="D110" s="6" t="inlineStr">
        <is>
          <t>Le SDT rattrape un cycliste roulant dans sa voie.</t>
        </is>
      </c>
      <c r="E110" s="6" t="inlineStr">
        <is>
          <t>Urban</t>
        </is>
      </c>
      <c r="F110" s="6" t="inlineStr">
        <is>
          <t>URB-CRU, URB-FOL, URB-LC</t>
        </is>
      </c>
      <c r="G110" s="6">
        <f>IF(F110="",0,LEN(F110)-LEN(SUBSTITUTE(F110,",",""))+1)</f>
        <v/>
      </c>
      <c r="H110" s="6" t="inlineStr">
        <is>
          <t>A (obligatoire) : cyclist</t>
        </is>
      </c>
      <c r="I110" s="6" t="inlineStr">
        <is>
          <t>oui</t>
        </is>
      </c>
      <c r="J110" s="6" t="n">
        <v>48</v>
      </c>
      <c r="K110" s="6" t="n">
        <v>48</v>
      </c>
      <c r="L110" s="6" t="n">
        <v>0</v>
      </c>
      <c r="M110" s="6" t="inlineStr">
        <is>
          <t>#15 Pedalcyclist crash without prior vehicle maneuver</t>
        </is>
      </c>
      <c r="N110" s="6" t="inlineStr">
        <is>
          <t>H2</t>
        </is>
      </c>
      <c r="O110" s="6" t="inlineStr">
        <is>
          <t>TC-CRAWL-202</t>
        </is>
      </c>
      <c r="P110" s="6" t="inlineStr"/>
      <c r="Q110" s="6" t="inlineStr">
        <is>
          <t>non</t>
        </is>
      </c>
      <c r="R110" s="6" t="inlineStr">
        <is>
          <t>SERYTI catalogue v1 (PROPOSED)</t>
        </is>
      </c>
      <c r="S110" s="6" t="inlineStr">
        <is>
          <t>PROPOSED</t>
        </is>
      </c>
      <c r="T110" s="6" t="inlineStr"/>
      <c r="U110" s="6" t="inlineStr"/>
    </row>
    <row r="111">
      <c r="A111" s="6" t="inlineStr">
        <is>
          <t>URB-11</t>
        </is>
      </c>
      <c r="B111" s="6" t="inlineStr">
        <is>
          <t>URB</t>
        </is>
      </c>
      <c r="C111" s="6" t="inlineStr">
        <is>
          <t>Véhicule qui sort d'une place de stationnement</t>
        </is>
      </c>
      <c r="D111" s="6" t="inlineStr">
        <is>
          <t>Un véhicule garé à droite déboîte devant le SDT.</t>
        </is>
      </c>
      <c r="E111" s="6" t="inlineStr">
        <is>
          <t>Urban</t>
        </is>
      </c>
      <c r="F111" s="6" t="inlineStr">
        <is>
          <t>URB-CRU, URB-FOL</t>
        </is>
      </c>
      <c r="G111" s="6">
        <f>IF(F111="",0,LEN(F111)-LEN(SUBSTITUTE(F111,",",""))+1)</f>
        <v/>
      </c>
      <c r="H111" s="6" t="inlineStr">
        <is>
          <t>G (obligatoire) : car, pickup · cut_in</t>
        </is>
      </c>
      <c r="I111" s="6" t="inlineStr">
        <is>
          <t>oui</t>
        </is>
      </c>
      <c r="J111" s="6" t="n">
        <v>192</v>
      </c>
      <c r="K111" s="6" t="n">
        <v>192</v>
      </c>
      <c r="L111" s="6" t="n">
        <v>0</v>
      </c>
      <c r="M111" s="6" t="inlineStr">
        <is>
          <t>#18 Vehicle(s) parking, same direction</t>
        </is>
      </c>
      <c r="N111" s="6" t="inlineStr">
        <is>
          <t>H2</t>
        </is>
      </c>
      <c r="O111" s="6" t="inlineStr"/>
      <c r="P111" s="6" t="inlineStr"/>
      <c r="Q111" s="6" t="inlineStr">
        <is>
          <t>non</t>
        </is>
      </c>
      <c r="R111" s="6" t="inlineStr">
        <is>
          <t>SERYTI catalogue v1 (PROPOSED)</t>
        </is>
      </c>
      <c r="S111" s="6" t="inlineStr">
        <is>
          <t>PROPOSED</t>
        </is>
      </c>
      <c r="T111" s="6" t="inlineStr"/>
      <c r="U111" s="6" t="inlineStr"/>
    </row>
    <row r="112">
      <c r="A112" s="6" t="inlineStr">
        <is>
          <t>URB-12</t>
        </is>
      </c>
      <c r="B112" s="6" t="inlineStr">
        <is>
          <t>URB</t>
        </is>
      </c>
      <c r="C112" s="6" t="inlineStr">
        <is>
          <t>Véhicule en double file qui bloque la voie</t>
        </is>
      </c>
      <c r="D112" s="6" t="inlineStr">
        <is>
          <t>Un véhicule arrêté occupe la voie du SDT.</t>
        </is>
      </c>
      <c r="E112" s="6" t="inlineStr">
        <is>
          <t>Urban</t>
        </is>
      </c>
      <c r="F112" s="6" t="inlineStr">
        <is>
          <t>URB-LC, URB-SIL, URB-FOL</t>
        </is>
      </c>
      <c r="G112" s="6">
        <f>IF(F112="",0,LEN(F112)-LEN(SUBSTITUTE(F112,",",""))+1)</f>
        <v/>
      </c>
      <c r="H112" s="6" t="inlineStr">
        <is>
          <t>O (obligatoire) : stopped_vehicle
D (optionnel) : car</t>
        </is>
      </c>
      <c r="I112" s="6" t="inlineStr">
        <is>
          <t>oui</t>
        </is>
      </c>
      <c r="J112" s="6" t="n">
        <v>48</v>
      </c>
      <c r="K112" s="6" t="n">
        <v>48</v>
      </c>
      <c r="L112" s="6" t="n">
        <v>0</v>
      </c>
      <c r="M112" s="6" t="inlineStr">
        <is>
          <t>#27 Lead vehicle stopped</t>
        </is>
      </c>
      <c r="N112" s="6" t="inlineStr">
        <is>
          <t>H2</t>
        </is>
      </c>
      <c r="O112" s="6" t="inlineStr"/>
      <c r="P112" s="6" t="inlineStr"/>
      <c r="Q112" s="6" t="inlineStr">
        <is>
          <t>non</t>
        </is>
      </c>
      <c r="R112" s="6" t="inlineStr">
        <is>
          <t>SERYTI catalogue v1 (PROPOSED)</t>
        </is>
      </c>
      <c r="S112" s="6" t="inlineStr">
        <is>
          <t>PROPOSED</t>
        </is>
      </c>
      <c r="T112" s="6" t="inlineStr"/>
      <c r="U112" s="6" t="inlineStr"/>
    </row>
    <row r="113">
      <c r="A113" s="6" t="inlineStr">
        <is>
          <t>URB-13</t>
        </is>
      </c>
      <c r="B113" s="6" t="inlineStr">
        <is>
          <t>URB</t>
        </is>
      </c>
      <c r="C113" s="6" t="inlineStr">
        <is>
          <t>Bus qui s'arrête à un arrêt</t>
        </is>
      </c>
      <c r="D113" s="6" t="inlineStr">
        <is>
          <t>Le bus devant s'arrête pour prendre des passagers.</t>
        </is>
      </c>
      <c r="E113" s="6" t="inlineStr">
        <is>
          <t>Urban</t>
        </is>
      </c>
      <c r="F113" s="6" t="inlineStr">
        <is>
          <t>URB-FOL, URB-LC</t>
        </is>
      </c>
      <c r="G113" s="6">
        <f>IF(F113="",0,LEN(F113)-LEN(SUBSTITUTE(F113,",",""))+1)</f>
        <v/>
      </c>
      <c r="H113" s="6" t="inlineStr">
        <is>
          <t>A (obligatoire) : bus · brake</t>
        </is>
      </c>
      <c r="I113" s="6" t="inlineStr">
        <is>
          <t>oui</t>
        </is>
      </c>
      <c r="J113" s="6" t="n">
        <v>32</v>
      </c>
      <c r="K113" s="6" t="n">
        <v>32</v>
      </c>
      <c r="L113" s="6" t="n">
        <v>0</v>
      </c>
      <c r="M113" s="6" t="inlineStr">
        <is>
          <t>#26 Lead vehicle decelerating</t>
        </is>
      </c>
      <c r="N113" s="6" t="inlineStr">
        <is>
          <t>H2</t>
        </is>
      </c>
      <c r="O113" s="6" t="inlineStr"/>
      <c r="P113" s="6" t="inlineStr"/>
      <c r="Q113" s="6" t="inlineStr">
        <is>
          <t>non</t>
        </is>
      </c>
      <c r="R113" s="6" t="inlineStr">
        <is>
          <t>SERYTI catalogue v1 (PROPOSED)</t>
        </is>
      </c>
      <c r="S113" s="6" t="inlineStr">
        <is>
          <t>PROPOSED</t>
        </is>
      </c>
      <c r="T113" s="6" t="inlineStr"/>
      <c r="U113" s="6" t="inlineStr"/>
    </row>
    <row r="114">
      <c r="A114" s="6" t="inlineStr">
        <is>
          <t>URB-14</t>
        </is>
      </c>
      <c r="B114" s="6" t="inlineStr">
        <is>
          <t>URB</t>
        </is>
      </c>
      <c r="C114" s="6" t="inlineStr">
        <is>
          <t>Véhicule d'urgence à une intersection</t>
        </is>
      </c>
      <c r="D114" s="6" t="inlineStr">
        <is>
          <t>Un véhicule d'urgence traverse ou arrive en sens inverse à une intersection.</t>
        </is>
      </c>
      <c r="E114" s="6" t="inlineStr">
        <is>
          <t>Urban</t>
        </is>
      </c>
      <c r="F114" s="6" t="inlineStr">
        <is>
          <t>URB-STR, URB-TRN, URB-SIL</t>
        </is>
      </c>
      <c r="G114" s="6">
        <f>IF(F114="",0,LEN(F114)-LEN(SUBSTITUTE(F114,",",""))+1)</f>
        <v/>
      </c>
      <c r="H114" s="6" t="inlineStr"/>
      <c r="I114" s="6" t="inlineStr">
        <is>
          <t>jalon 2</t>
        </is>
      </c>
      <c r="J114" s="6" t="n"/>
      <c r="K114" s="6" t="n"/>
      <c r="L114" s="6" t="n"/>
      <c r="M114" s="6" t="inlineStr"/>
      <c r="N114" s="6" t="inlineStr">
        <is>
          <t>H1, H6</t>
        </is>
      </c>
      <c r="O114" s="6" t="inlineStr">
        <is>
          <t>TC-CRAWL-198</t>
        </is>
      </c>
      <c r="P114" s="6" t="inlineStr"/>
      <c r="Q114" s="6" t="inlineStr">
        <is>
          <t>non</t>
        </is>
      </c>
      <c r="R114" s="6" t="inlineStr">
        <is>
          <t>SERYTI catalogue v1 (PROPOSED)</t>
        </is>
      </c>
      <c r="S114" s="6" t="inlineStr">
        <is>
          <t>PROPOSED</t>
        </is>
      </c>
      <c r="T114" s="6" t="inlineStr"/>
      <c r="U114" s="6" t="inlineStr"/>
    </row>
    <row r="115">
      <c r="A115" s="6" t="inlineStr">
        <is>
          <t>URB-15</t>
        </is>
      </c>
      <c r="B115" s="6" t="inlineStr">
        <is>
          <t>URB</t>
        </is>
      </c>
      <c r="C115" s="6" t="inlineStr">
        <is>
          <t>Véhicule venant d'en face qui empiète sur la voie</t>
        </is>
      </c>
      <c r="D115" s="6" t="inlineStr">
        <is>
          <t>Un véhicule en sens inverse franchit la ligne centrale.</t>
        </is>
      </c>
      <c r="E115" s="6" t="inlineStr">
        <is>
          <t>Urban</t>
        </is>
      </c>
      <c r="F115" s="6" t="inlineStr">
        <is>
          <t>URB-CRU, URB-ELM</t>
        </is>
      </c>
      <c r="G115" s="6">
        <f>IF(F115="",0,LEN(F115)-LEN(SUBSTITUTE(F115,",",""))+1)</f>
        <v/>
      </c>
      <c r="H115" s="6" t="inlineStr"/>
      <c r="I115" s="6" t="inlineStr">
        <is>
          <t>jalon 2</t>
        </is>
      </c>
      <c r="J115" s="6" t="n"/>
      <c r="K115" s="6" t="n"/>
      <c r="L115" s="6" t="n"/>
      <c r="M115" s="6" t="inlineStr">
        <is>
          <t>#22 Vehicle(s) not making a maneuver, opposite direction</t>
        </is>
      </c>
      <c r="N115" s="6" t="inlineStr">
        <is>
          <t>H2</t>
        </is>
      </c>
      <c r="O115" s="6" t="inlineStr"/>
      <c r="P115" s="6" t="inlineStr"/>
      <c r="Q115" s="6" t="inlineStr">
        <is>
          <t>non</t>
        </is>
      </c>
      <c r="R115" s="6" t="inlineStr">
        <is>
          <t>SERYTI catalogue v1 (PROPOSED)</t>
        </is>
      </c>
      <c r="S115" s="6" t="inlineStr">
        <is>
          <t>PROPOSED</t>
        </is>
      </c>
      <c r="T115" s="6" t="inlineStr"/>
      <c r="U115" s="6" t="inlineStr">
        <is>
          <t>§6 Oncoming (partiel)</t>
        </is>
      </c>
    </row>
    <row r="116">
      <c r="A116" s="6" t="inlineStr">
        <is>
          <t>URB-16</t>
        </is>
      </c>
      <c r="B116" s="6" t="inlineStr">
        <is>
          <t>URB</t>
        </is>
      </c>
      <c r="C116" s="6" t="inlineStr">
        <is>
          <t>Véhicule qui tourne devant le SDT et ralentit</t>
        </is>
      </c>
      <c r="D116" s="6" t="inlineStr">
        <is>
          <t>Le véhicule devant ralentit pour tourner.</t>
        </is>
      </c>
      <c r="E116" s="6" t="inlineStr">
        <is>
          <t>Urban</t>
        </is>
      </c>
      <c r="F116" s="6" t="inlineStr">
        <is>
          <t>URB-FOL</t>
        </is>
      </c>
      <c r="G116" s="6">
        <f>IF(F116="",0,LEN(F116)-LEN(SUBSTITUTE(F116,",",""))+1)</f>
        <v/>
      </c>
      <c r="H116" s="6" t="inlineStr">
        <is>
          <t>A (obligatoire) : car, pickup · brake</t>
        </is>
      </c>
      <c r="I116" s="6" t="inlineStr">
        <is>
          <t>oui</t>
        </is>
      </c>
      <c r="J116" s="6" t="n">
        <v>64</v>
      </c>
      <c r="K116" s="6" t="n">
        <v>64</v>
      </c>
      <c r="L116" s="6" t="n">
        <v>0</v>
      </c>
      <c r="M116" s="6" t="inlineStr">
        <is>
          <t>#17 Vehicle(s) turning, same direction, #26 Lead vehicle decelerating</t>
        </is>
      </c>
      <c r="N116" s="6" t="inlineStr">
        <is>
          <t>H2</t>
        </is>
      </c>
      <c r="O116" s="6" t="inlineStr"/>
      <c r="P116" s="6" t="inlineStr"/>
      <c r="Q116" s="6" t="inlineStr">
        <is>
          <t>non</t>
        </is>
      </c>
      <c r="R116" s="6" t="inlineStr">
        <is>
          <t>SERYTI catalogue v1 (PROPOSED)</t>
        </is>
      </c>
      <c r="S116" s="6" t="inlineStr">
        <is>
          <t>PROPOSED</t>
        </is>
      </c>
      <c r="T116" s="6" t="inlineStr"/>
      <c r="U116" s="6" t="inlineStr"/>
    </row>
    <row r="117">
      <c r="A117" s="6" t="inlineStr">
        <is>
          <t>HUB-01</t>
        </is>
      </c>
      <c r="B117" s="6" t="inlineStr">
        <is>
          <t>HUB</t>
        </is>
      </c>
      <c r="C117" s="6" t="inlineStr">
        <is>
          <t>Tracteur de cour qui croise le trajet</t>
        </is>
      </c>
      <c r="D117" s="6" t="inlineStr">
        <is>
          <t>Un yard tractor traverse devant le SDT à basse vitesse.</t>
        </is>
      </c>
      <c r="E117" s="6" t="inlineStr">
        <is>
          <t>Hub</t>
        </is>
      </c>
      <c r="F117" s="6" t="inlineStr">
        <is>
          <t>HUB-LSD, HUB-AVD</t>
        </is>
      </c>
      <c r="G117" s="6">
        <f>IF(F117="",0,LEN(F117)-LEN(SUBSTITUTE(F117,",",""))+1)</f>
        <v/>
      </c>
      <c r="H117" s="6" t="inlineStr"/>
      <c r="I117" s="6" t="inlineStr">
        <is>
          <t>jalon 2</t>
        </is>
      </c>
      <c r="J117" s="6" t="n"/>
      <c r="K117" s="6" t="n"/>
      <c r="L117" s="6" t="n"/>
      <c r="M117" s="6" t="inlineStr">
        <is>
          <t>#31 Straight crossing paths at non-signalized junctions</t>
        </is>
      </c>
      <c r="N117" s="6" t="inlineStr">
        <is>
          <t>H1, H2</t>
        </is>
      </c>
      <c r="O117" s="6" t="inlineStr"/>
      <c r="P117" s="6" t="inlineStr"/>
      <c r="Q117" s="6" t="inlineStr">
        <is>
          <t>non</t>
        </is>
      </c>
      <c r="R117" s="6" t="inlineStr">
        <is>
          <t>SERYTI catalogue v1 (PROPOSED)</t>
        </is>
      </c>
      <c r="S117" s="6" t="inlineStr">
        <is>
          <t>PROPOSED</t>
        </is>
      </c>
      <c r="T117" s="6" t="inlineStr"/>
      <c r="U117" s="6" t="inlineStr"/>
    </row>
    <row r="118">
      <c r="A118" s="6" t="inlineStr">
        <is>
          <t>HUB-02</t>
        </is>
      </c>
      <c r="B118" s="6" t="inlineStr">
        <is>
          <t>HUB</t>
        </is>
      </c>
      <c r="C118" s="6" t="inlineStr">
        <is>
          <t>Piéton travaillant dans la cour</t>
        </is>
      </c>
      <c r="D118" s="6" t="inlineStr">
        <is>
          <t>Un opérateur à pied près du trajet du SDT.</t>
        </is>
      </c>
      <c r="E118" s="6" t="inlineStr">
        <is>
          <t>Hub</t>
        </is>
      </c>
      <c r="F118" s="6" t="inlineStr">
        <is>
          <t>HUB-LSD, HUB-AVD, HUB-EST</t>
        </is>
      </c>
      <c r="G118" s="6">
        <f>IF(F118="",0,LEN(F118)-LEN(SUBSTITUTE(F118,",",""))+1)</f>
        <v/>
      </c>
      <c r="H118" s="6" t="inlineStr"/>
      <c r="I118" s="6" t="inlineStr">
        <is>
          <t>jalon 2</t>
        </is>
      </c>
      <c r="J118" s="6" t="n"/>
      <c r="K118" s="6" t="n"/>
      <c r="L118" s="6" t="n"/>
      <c r="M118" s="6" t="inlineStr">
        <is>
          <t>#12 Pedestrian crash with prior vehicle maneuver, #13 Pedestrian crash without prior vehicle maneuver</t>
        </is>
      </c>
      <c r="N118" s="6" t="inlineStr">
        <is>
          <t>H2</t>
        </is>
      </c>
      <c r="O118" s="6" t="inlineStr"/>
      <c r="P118" s="6" t="inlineStr"/>
      <c r="Q118" s="6" t="inlineStr">
        <is>
          <t>non</t>
        </is>
      </c>
      <c r="R118" s="6" t="inlineStr">
        <is>
          <t>SERYTI catalogue v1 (PROPOSED)</t>
        </is>
      </c>
      <c r="S118" s="6" t="inlineStr">
        <is>
          <t>PROPOSED</t>
        </is>
      </c>
      <c r="T118" s="6" t="inlineStr"/>
      <c r="U118" s="6" t="inlineStr"/>
    </row>
    <row r="119">
      <c r="A119" s="6" t="inlineStr">
        <is>
          <t>HUB-03</t>
        </is>
      </c>
      <c r="B119" s="6" t="inlineStr">
        <is>
          <t>HUB</t>
        </is>
      </c>
      <c r="C119" s="6" t="inlineStr">
        <is>
          <t>Mise à quai en marche arrière avec obstacle</t>
        </is>
      </c>
      <c r="D119" s="6" t="inlineStr">
        <is>
          <t>Un obstacle se trouve derrière la remorque pendant la mise à quai.</t>
        </is>
      </c>
      <c r="E119" s="6" t="inlineStr">
        <is>
          <t>Hub</t>
        </is>
      </c>
      <c r="F119" s="6" t="inlineStr">
        <is>
          <t>HUB-DCK</t>
        </is>
      </c>
      <c r="G119" s="6">
        <f>IF(F119="",0,LEN(F119)-LEN(SUBSTITUTE(F119,",",""))+1)</f>
        <v/>
      </c>
      <c r="H119" s="6" t="inlineStr"/>
      <c r="I119" s="6" t="inlineStr">
        <is>
          <t>jalon 2</t>
        </is>
      </c>
      <c r="J119" s="6" t="n"/>
      <c r="K119" s="6" t="n"/>
      <c r="L119" s="6" t="n"/>
      <c r="M119" s="6" t="inlineStr">
        <is>
          <t>#9 Road edge departure while backing up, #16 Backing up into another vehicle</t>
        </is>
      </c>
      <c r="N119" s="6" t="inlineStr">
        <is>
          <t>H3</t>
        </is>
      </c>
      <c r="O119" s="6" t="inlineStr"/>
      <c r="P119" s="6" t="inlineStr"/>
      <c r="Q119" s="6" t="inlineStr">
        <is>
          <t>non</t>
        </is>
      </c>
      <c r="R119" s="6" t="inlineStr">
        <is>
          <t>SERYTI catalogue v1 (PROPOSED)</t>
        </is>
      </c>
      <c r="S119" s="6" t="inlineStr">
        <is>
          <t>PROPOSED</t>
        </is>
      </c>
      <c r="T119" s="6" t="inlineStr"/>
      <c r="U119" s="6" t="inlineStr"/>
    </row>
    <row r="120">
      <c r="A120" s="6" t="inlineStr">
        <is>
          <t>HUB-04</t>
        </is>
      </c>
      <c r="B120" s="6" t="inlineStr">
        <is>
          <t>HUB</t>
        </is>
      </c>
      <c r="C120" s="6" t="inlineStr">
        <is>
          <t>Désalignement au quai</t>
        </is>
      </c>
      <c r="D120" s="6" t="inlineStr">
        <is>
          <t>La remorque arrive en angle par rapport au quai.</t>
        </is>
      </c>
      <c r="E120" s="6" t="inlineStr">
        <is>
          <t>Hub</t>
        </is>
      </c>
      <c r="F120" s="6" t="inlineStr">
        <is>
          <t>HUB-DCK</t>
        </is>
      </c>
      <c r="G120" s="6">
        <f>IF(F120="",0,LEN(F120)-LEN(SUBSTITUTE(F120,",",""))+1)</f>
        <v/>
      </c>
      <c r="H120" s="6" t="inlineStr"/>
      <c r="I120" s="6" t="inlineStr">
        <is>
          <t>jalon 2</t>
        </is>
      </c>
      <c r="J120" s="6" t="n"/>
      <c r="K120" s="6" t="n"/>
      <c r="L120" s="6" t="n"/>
      <c r="M120" s="6" t="inlineStr"/>
      <c r="N120" s="6" t="inlineStr">
        <is>
          <t>H5</t>
        </is>
      </c>
      <c r="O120" s="6" t="inlineStr"/>
      <c r="P120" s="6" t="inlineStr"/>
      <c r="Q120" s="6" t="inlineStr">
        <is>
          <t>non</t>
        </is>
      </c>
      <c r="R120" s="6" t="inlineStr">
        <is>
          <t>SERYTI catalogue v1 (PROPOSED)</t>
        </is>
      </c>
      <c r="S120" s="6" t="inlineStr">
        <is>
          <t>PROPOSED</t>
        </is>
      </c>
      <c r="T120" s="6" t="inlineStr"/>
      <c r="U120" s="6" t="inlineStr"/>
    </row>
    <row r="121">
      <c r="A121" s="6" t="inlineStr">
        <is>
          <t>HUB-05</t>
        </is>
      </c>
      <c r="B121" s="6" t="inlineStr">
        <is>
          <t>HUB</t>
        </is>
      </c>
      <c r="C121" s="6" t="inlineStr">
        <is>
          <t>Départ du quai avec trafic transversal</t>
        </is>
      </c>
      <c r="D121" s="6" t="inlineStr">
        <is>
          <t>Le SDT quitte le quai alors qu'un véhicule circule dans l'allée.</t>
        </is>
      </c>
      <c r="E121" s="6" t="inlineStr">
        <is>
          <t>Hub</t>
        </is>
      </c>
      <c r="F121" s="6" t="inlineStr">
        <is>
          <t>HUB-PUL</t>
        </is>
      </c>
      <c r="G121" s="6">
        <f>IF(F121="",0,LEN(F121)-LEN(SUBSTITUTE(F121,",",""))+1)</f>
        <v/>
      </c>
      <c r="H121" s="6" t="inlineStr"/>
      <c r="I121" s="6" t="inlineStr">
        <is>
          <t>jalon 2</t>
        </is>
      </c>
      <c r="J121" s="6" t="n"/>
      <c r="K121" s="6" t="n"/>
      <c r="L121" s="6" t="n"/>
      <c r="M121" s="6" t="inlineStr">
        <is>
          <t>#31 Straight crossing paths at non-signalized junctions</t>
        </is>
      </c>
      <c r="N121" s="6" t="inlineStr">
        <is>
          <t>H1</t>
        </is>
      </c>
      <c r="O121" s="6" t="inlineStr"/>
      <c r="P121" s="6" t="inlineStr"/>
      <c r="Q121" s="6" t="inlineStr">
        <is>
          <t>non</t>
        </is>
      </c>
      <c r="R121" s="6" t="inlineStr">
        <is>
          <t>SERYTI catalogue v1 (PROPOSED)</t>
        </is>
      </c>
      <c r="S121" s="6" t="inlineStr">
        <is>
          <t>PROPOSED</t>
        </is>
      </c>
      <c r="T121" s="6" t="inlineStr"/>
      <c r="U121" s="6" t="inlineStr"/>
    </row>
    <row r="122">
      <c r="A122" s="6" t="inlineStr">
        <is>
          <t>HUB-06</t>
        </is>
      </c>
      <c r="B122" s="6" t="inlineStr">
        <is>
          <t>HUB</t>
        </is>
      </c>
      <c r="C122" s="6" t="inlineStr">
        <is>
          <t>Remorque garée qui empiète sur l'allée</t>
        </is>
      </c>
      <c r="D122" s="6" t="inlineStr">
        <is>
          <t>Une remorque mal garée réduit l'espace de passage.</t>
        </is>
      </c>
      <c r="E122" s="6" t="inlineStr">
        <is>
          <t>Hub</t>
        </is>
      </c>
      <c r="F122" s="6" t="inlineStr">
        <is>
          <t>HUB-AVD, HUB-LSD</t>
        </is>
      </c>
      <c r="G122" s="6">
        <f>IF(F122="",0,LEN(F122)-LEN(SUBSTITUTE(F122,",",""))+1)</f>
        <v/>
      </c>
      <c r="H122" s="6" t="inlineStr"/>
      <c r="I122" s="6" t="inlineStr">
        <is>
          <t>jalon 2</t>
        </is>
      </c>
      <c r="J122" s="6" t="n"/>
      <c r="K122" s="6" t="n"/>
      <c r="L122" s="6" t="n"/>
      <c r="M122" s="6" t="inlineStr">
        <is>
          <t>#37 Object crash without prior vehicle maneuver</t>
        </is>
      </c>
      <c r="N122" s="6" t="inlineStr">
        <is>
          <t>H1</t>
        </is>
      </c>
      <c r="O122" s="6" t="inlineStr"/>
      <c r="P122" s="6" t="inlineStr"/>
      <c r="Q122" s="6" t="inlineStr">
        <is>
          <t>non</t>
        </is>
      </c>
      <c r="R122" s="6" t="inlineStr">
        <is>
          <t>SERYTI catalogue v1 (PROPOSED)</t>
        </is>
      </c>
      <c r="S122" s="6" t="inlineStr">
        <is>
          <t>PROPOSED</t>
        </is>
      </c>
      <c r="T122" s="6" t="inlineStr"/>
      <c r="U122" s="6" t="inlineStr"/>
    </row>
    <row r="123">
      <c r="A123" s="6" t="inlineStr">
        <is>
          <t>HUB-07</t>
        </is>
      </c>
      <c r="B123" s="6" t="inlineStr">
        <is>
          <t>HUB</t>
        </is>
      </c>
      <c r="C123" s="6" t="inlineStr">
        <is>
          <t>Chariot élévateur qui croise</t>
        </is>
      </c>
      <c r="D123" s="6" t="inlineStr">
        <is>
          <t>Un chariot traverse ou recule devant le SDT.</t>
        </is>
      </c>
      <c r="E123" s="6" t="inlineStr">
        <is>
          <t>Hub</t>
        </is>
      </c>
      <c r="F123" s="6" t="inlineStr">
        <is>
          <t>HUB-AVD, HUB-LSD, HUB-EST</t>
        </is>
      </c>
      <c r="G123" s="6">
        <f>IF(F123="",0,LEN(F123)-LEN(SUBSTITUTE(F123,",",""))+1)</f>
        <v/>
      </c>
      <c r="H123" s="6" t="inlineStr"/>
      <c r="I123" s="6" t="inlineStr">
        <is>
          <t>jalon 2</t>
        </is>
      </c>
      <c r="J123" s="6" t="n"/>
      <c r="K123" s="6" t="n"/>
      <c r="L123" s="6" t="n"/>
      <c r="M123" s="6" t="inlineStr">
        <is>
          <t>#31 Straight crossing paths at non-signalized junctions</t>
        </is>
      </c>
      <c r="N123" s="6" t="inlineStr">
        <is>
          <t>H2</t>
        </is>
      </c>
      <c r="O123" s="6" t="inlineStr"/>
      <c r="P123" s="6" t="inlineStr"/>
      <c r="Q123" s="6" t="inlineStr">
        <is>
          <t>non</t>
        </is>
      </c>
      <c r="R123" s="6" t="inlineStr">
        <is>
          <t>SERYTI catalogue v1 (PROPOSED)</t>
        </is>
      </c>
      <c r="S123" s="6" t="inlineStr">
        <is>
          <t>PROPOSED</t>
        </is>
      </c>
      <c r="T123" s="6" t="inlineStr"/>
      <c r="U123" s="6" t="inlineStr"/>
    </row>
    <row r="124">
      <c r="A124" s="6" t="inlineStr">
        <is>
          <t>HUB-08</t>
        </is>
      </c>
      <c r="B124" s="6" t="inlineStr">
        <is>
          <t>HUB</t>
        </is>
      </c>
      <c r="C124" s="6" t="inlineStr">
        <is>
          <t>File d'attente au portail de sortie</t>
        </is>
      </c>
      <c r="D124" s="6" t="inlineStr">
        <is>
          <t>Des véhicules attendent au portail au moment du départ.</t>
        </is>
      </c>
      <c r="E124" s="6" t="inlineStr">
        <is>
          <t>Hub</t>
        </is>
      </c>
      <c r="F124" s="6" t="inlineStr">
        <is>
          <t>HUB-PUL</t>
        </is>
      </c>
      <c r="G124" s="6">
        <f>IF(F124="",0,LEN(F124)-LEN(SUBSTITUTE(F124,",",""))+1)</f>
        <v/>
      </c>
      <c r="H124" s="6" t="inlineStr"/>
      <c r="I124" s="6" t="inlineStr">
        <is>
          <t>jalon 2</t>
        </is>
      </c>
      <c r="J124" s="6" t="n"/>
      <c r="K124" s="6" t="n"/>
      <c r="L124" s="6" t="n"/>
      <c r="M124" s="6" t="inlineStr">
        <is>
          <t>#27 Lead vehicle stopped</t>
        </is>
      </c>
      <c r="N124" s="6" t="inlineStr">
        <is>
          <t>H2</t>
        </is>
      </c>
      <c r="O124" s="6" t="inlineStr"/>
      <c r="P124" s="6" t="inlineStr"/>
      <c r="Q124" s="6" t="inlineStr">
        <is>
          <t>non</t>
        </is>
      </c>
      <c r="R124" s="6" t="inlineStr">
        <is>
          <t>SERYTI catalogue v1 (PROPOSED)</t>
        </is>
      </c>
      <c r="S124" s="6" t="inlineStr">
        <is>
          <t>PROPOSED</t>
        </is>
      </c>
      <c r="T124" s="6" t="inlineStr"/>
      <c r="U124" s="6" t="inlineStr"/>
    </row>
    <row r="125">
      <c r="A125" s="6" t="inlineStr">
        <is>
          <t>HUB-09</t>
        </is>
      </c>
      <c r="B125" s="6" t="inlineStr">
        <is>
          <t>HUB</t>
        </is>
      </c>
      <c r="C125" s="6" t="inlineStr">
        <is>
          <t>Virage serré dans la cour</t>
        </is>
      </c>
      <c r="D125" s="6" t="inlineStr">
        <is>
          <t>Le balayage de la remorque frôle un obstacle.</t>
        </is>
      </c>
      <c r="E125" s="6" t="inlineStr">
        <is>
          <t>Hub</t>
        </is>
      </c>
      <c r="F125" s="6" t="inlineStr">
        <is>
          <t>HUB-LSD</t>
        </is>
      </c>
      <c r="G125" s="6">
        <f>IF(F125="",0,LEN(F125)-LEN(SUBSTITUTE(F125,",",""))+1)</f>
        <v/>
      </c>
      <c r="H125" s="6" t="inlineStr"/>
      <c r="I125" s="6" t="inlineStr">
        <is>
          <t>jalon 2</t>
        </is>
      </c>
      <c r="J125" s="6" t="n"/>
      <c r="K125" s="6" t="n"/>
      <c r="L125" s="6" t="n"/>
      <c r="M125" s="6" t="inlineStr"/>
      <c r="N125" s="6" t="inlineStr">
        <is>
          <t>H1</t>
        </is>
      </c>
      <c r="O125" s="6" t="inlineStr"/>
      <c r="P125" s="6" t="inlineStr"/>
      <c r="Q125" s="6" t="inlineStr">
        <is>
          <t>non</t>
        </is>
      </c>
      <c r="R125" s="6" t="inlineStr">
        <is>
          <t>SERYTI catalogue v1 (PROPOSED)</t>
        </is>
      </c>
      <c r="S125" s="6" t="inlineStr">
        <is>
          <t>PROPOSED</t>
        </is>
      </c>
      <c r="T125" s="6" t="inlineStr"/>
      <c r="U125" s="6" t="inlineStr"/>
    </row>
    <row r="127">
      <c r="C127" s="7" t="inlineStr">
        <is>
          <t>Totaux</t>
        </is>
      </c>
      <c r="G127" s="7">
        <f>SUM(G5:G125)</f>
        <v/>
      </c>
      <c r="J127" s="7">
        <f>SUM(J5:J125)</f>
        <v/>
      </c>
      <c r="K127" s="7">
        <f>SUM(K5:K125)</f>
        <v/>
      </c>
      <c r="L127" s="7">
        <f>SUM(L5:L125)</f>
        <v/>
      </c>
    </row>
  </sheetData>
  <autoFilter ref="A4:U1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43"/>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10" customWidth="1" min="24" max="24"/>
  </cols>
  <sheetData>
    <row r="1">
      <c r="A1" s="1" t="inlineStr">
        <is>
          <t>Matrice Behavior × Abstract</t>
        </is>
      </c>
    </row>
    <row r="2">
      <c r="A2" s="2" t="inlineStr">
        <is>
          <t>Lettre = intention du SDT pour ce behavior (K, L, M, S, I, E). « 2 » = lien prévu, génération au jalon 2.</t>
        </is>
      </c>
    </row>
    <row r="4" ht="70" customHeight="1">
      <c r="A4" s="5" t="inlineStr">
        <is>
          <t>ID</t>
        </is>
      </c>
      <c r="B4" s="5" t="inlineStr">
        <is>
          <t>Abstract</t>
        </is>
      </c>
      <c r="C4" s="8" t="inlineStr">
        <is>
          <t>HW-CRU</t>
        </is>
      </c>
      <c r="D4" s="8" t="inlineStr">
        <is>
          <t>HW-FOL</t>
        </is>
      </c>
      <c r="E4" s="8" t="inlineStr">
        <is>
          <t>HW-LC</t>
        </is>
      </c>
      <c r="F4" s="8" t="inlineStr">
        <is>
          <t>HW-ONR</t>
        </is>
      </c>
      <c r="G4" s="8" t="inlineStr">
        <is>
          <t>HW-OFR</t>
        </is>
      </c>
      <c r="H4" s="8" t="inlineStr">
        <is>
          <t>HW-CSS</t>
        </is>
      </c>
      <c r="I4" s="8" t="inlineStr">
        <is>
          <t>HW-ESL</t>
        </is>
      </c>
      <c r="J4" s="8" t="inlineStr">
        <is>
          <t>HW-ELM</t>
        </is>
      </c>
      <c r="K4" s="8" t="inlineStr">
        <is>
          <t>URB-CRU</t>
        </is>
      </c>
      <c r="L4" s="8" t="inlineStr">
        <is>
          <t>URB-FOL</t>
        </is>
      </c>
      <c r="M4" s="8" t="inlineStr">
        <is>
          <t>URB-LC</t>
        </is>
      </c>
      <c r="N4" s="8" t="inlineStr">
        <is>
          <t>URB-XWK</t>
        </is>
      </c>
      <c r="O4" s="8" t="inlineStr">
        <is>
          <t>URB-TRN</t>
        </is>
      </c>
      <c r="P4" s="8" t="inlineStr">
        <is>
          <t>URB-STR</t>
        </is>
      </c>
      <c r="Q4" s="8" t="inlineStr">
        <is>
          <t>URB-SIL</t>
        </is>
      </c>
      <c r="R4" s="8" t="inlineStr">
        <is>
          <t>URB-ELM</t>
        </is>
      </c>
      <c r="S4" s="8" t="inlineStr">
        <is>
          <t>HUB-LSD</t>
        </is>
      </c>
      <c r="T4" s="8" t="inlineStr">
        <is>
          <t>HUB-DCK</t>
        </is>
      </c>
      <c r="U4" s="8" t="inlineStr">
        <is>
          <t>HUB-PUL</t>
        </is>
      </c>
      <c r="V4" s="8" t="inlineStr">
        <is>
          <t>HUB-AVD</t>
        </is>
      </c>
      <c r="W4" s="8" t="inlineStr">
        <is>
          <t>HUB-EST</t>
        </is>
      </c>
      <c r="X4" s="5" t="inlineStr">
        <is>
          <t>Nb behaviors</t>
        </is>
      </c>
    </row>
    <row r="5">
      <c r="A5" s="9" t="inlineStr">
        <is>
          <t>LV · Véhicule leader dans la voie du SDT</t>
        </is>
      </c>
      <c r="B5" s="10"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0" t="n"/>
    </row>
    <row r="6">
      <c r="A6" s="12" t="inlineStr">
        <is>
          <t>LV-01</t>
        </is>
      </c>
      <c r="B6" s="12" t="inlineStr">
        <is>
          <t>Route libre, aucun leader</t>
        </is>
      </c>
      <c r="C6" s="13" t="inlineStr">
        <is>
          <t>K</t>
        </is>
      </c>
      <c r="D6" s="14" t="n"/>
      <c r="E6" s="14" t="n"/>
      <c r="F6" s="14" t="n"/>
      <c r="G6" s="14" t="n"/>
      <c r="H6" s="14" t="n"/>
      <c r="I6" s="14" t="n"/>
      <c r="J6" s="14" t="n"/>
      <c r="K6" s="13" t="inlineStr">
        <is>
          <t>K</t>
        </is>
      </c>
      <c r="L6" s="14" t="n"/>
      <c r="M6" s="14" t="n"/>
      <c r="N6" s="14" t="n"/>
      <c r="O6" s="14" t="n"/>
      <c r="P6" s="14" t="n"/>
      <c r="Q6" s="14" t="n"/>
      <c r="R6" s="14" t="n"/>
      <c r="S6" s="14" t="n"/>
      <c r="T6" s="14" t="n"/>
      <c r="U6" s="14" t="n"/>
      <c r="V6" s="14" t="n"/>
      <c r="W6" s="14" t="n"/>
      <c r="X6" s="12">
        <f>COUNTA(C6:W6)</f>
        <v/>
      </c>
    </row>
    <row r="7">
      <c r="A7" s="12" t="inlineStr">
        <is>
          <t>LV-02</t>
        </is>
      </c>
      <c r="B7" s="12" t="inlineStr">
        <is>
          <t>Leader plus lent à vitesse constante</t>
        </is>
      </c>
      <c r="C7" s="13" t="inlineStr">
        <is>
          <t>K</t>
        </is>
      </c>
      <c r="D7" s="13" t="inlineStr">
        <is>
          <t>K</t>
        </is>
      </c>
      <c r="E7" s="14" t="n"/>
      <c r="F7" s="14" t="n"/>
      <c r="G7" s="14" t="n"/>
      <c r="H7" s="14" t="n"/>
      <c r="I7" s="14" t="n"/>
      <c r="J7" s="14" t="n"/>
      <c r="K7" s="14" t="n"/>
      <c r="L7" s="13" t="inlineStr">
        <is>
          <t>K</t>
        </is>
      </c>
      <c r="M7" s="14" t="n"/>
      <c r="N7" s="14" t="n"/>
      <c r="O7" s="14" t="n"/>
      <c r="P7" s="14" t="n"/>
      <c r="Q7" s="14" t="n"/>
      <c r="R7" s="14" t="n"/>
      <c r="S7" s="14" t="n"/>
      <c r="T7" s="14" t="n"/>
      <c r="U7" s="14" t="n"/>
      <c r="V7" s="14" t="n"/>
      <c r="W7" s="14" t="n"/>
      <c r="X7" s="12">
        <f>COUNTA(C7:W7)</f>
        <v/>
      </c>
    </row>
    <row r="8">
      <c r="A8" s="12" t="inlineStr">
        <is>
          <t>LV-03</t>
        </is>
      </c>
      <c r="B8" s="12" t="inlineStr">
        <is>
          <t>Leader qui décélère modérément</t>
        </is>
      </c>
      <c r="C8" s="14" t="n"/>
      <c r="D8" s="13" t="inlineStr">
        <is>
          <t>K</t>
        </is>
      </c>
      <c r="E8" s="14" t="n"/>
      <c r="F8" s="14" t="n"/>
      <c r="G8" s="14" t="n"/>
      <c r="H8" s="14" t="n"/>
      <c r="I8" s="14" t="n"/>
      <c r="J8" s="14" t="n"/>
      <c r="K8" s="14" t="n"/>
      <c r="L8" s="13" t="inlineStr">
        <is>
          <t>K</t>
        </is>
      </c>
      <c r="M8" s="14" t="n"/>
      <c r="N8" s="14" t="n"/>
      <c r="O8" s="14" t="n"/>
      <c r="P8" s="14" t="n"/>
      <c r="Q8" s="14" t="n"/>
      <c r="R8" s="14" t="n"/>
      <c r="S8" s="14" t="n"/>
      <c r="T8" s="14" t="n"/>
      <c r="U8" s="14" t="n"/>
      <c r="V8" s="14" t="n"/>
      <c r="W8" s="14" t="n"/>
      <c r="X8" s="12">
        <f>COUNTA(C8:W8)</f>
        <v/>
      </c>
    </row>
    <row r="9">
      <c r="A9" s="12" t="inlineStr">
        <is>
          <t>LV-04</t>
        </is>
      </c>
      <c r="B9" s="12" t="inlineStr">
        <is>
          <t>Leader qui freine fort</t>
        </is>
      </c>
      <c r="C9" s="14" t="n"/>
      <c r="D9" s="13" t="inlineStr">
        <is>
          <t>K</t>
        </is>
      </c>
      <c r="E9" s="14" t="n"/>
      <c r="F9" s="14" t="n"/>
      <c r="G9" s="14" t="n"/>
      <c r="H9" s="14" t="n"/>
      <c r="I9" s="13" t="inlineStr">
        <is>
          <t>I</t>
        </is>
      </c>
      <c r="J9" s="13" t="inlineStr">
        <is>
          <t>E</t>
        </is>
      </c>
      <c r="K9" s="14" t="n"/>
      <c r="L9" s="13" t="inlineStr">
        <is>
          <t>K</t>
        </is>
      </c>
      <c r="M9" s="14" t="n"/>
      <c r="N9" s="14" t="n"/>
      <c r="O9" s="14" t="n"/>
      <c r="P9" s="14" t="n"/>
      <c r="Q9" s="14" t="n"/>
      <c r="R9" s="14" t="n"/>
      <c r="S9" s="14" t="n"/>
      <c r="T9" s="14" t="n"/>
      <c r="U9" s="14" t="n"/>
      <c r="V9" s="14" t="n"/>
      <c r="W9" s="14" t="n"/>
      <c r="X9" s="12">
        <f>COUNTA(C9:W9)</f>
        <v/>
      </c>
    </row>
    <row r="10">
      <c r="A10" s="12" t="inlineStr">
        <is>
          <t>LV-05</t>
        </is>
      </c>
      <c r="B10" s="12" t="inlineStr">
        <is>
          <t>Leader arrêté (fin de bouchon, véhicule arrêté)</t>
        </is>
      </c>
      <c r="C10" s="13" t="inlineStr">
        <is>
          <t>K</t>
        </is>
      </c>
      <c r="D10" s="13" t="inlineStr">
        <is>
          <t>K</t>
        </is>
      </c>
      <c r="E10" s="13" t="inlineStr">
        <is>
          <t>L</t>
        </is>
      </c>
      <c r="F10" s="14" t="n"/>
      <c r="G10" s="14" t="n"/>
      <c r="H10" s="14" t="n"/>
      <c r="I10" s="13" t="inlineStr">
        <is>
          <t>I</t>
        </is>
      </c>
      <c r="J10" s="13" t="inlineStr">
        <is>
          <t>E</t>
        </is>
      </c>
      <c r="K10" s="14" t="n"/>
      <c r="L10" s="13" t="inlineStr">
        <is>
          <t>K</t>
        </is>
      </c>
      <c r="M10" s="14" t="n"/>
      <c r="N10" s="14" t="n"/>
      <c r="O10" s="14" t="n"/>
      <c r="P10" s="14" t="n"/>
      <c r="Q10" s="14" t="n"/>
      <c r="R10" s="14" t="n"/>
      <c r="S10" s="14" t="n"/>
      <c r="T10" s="14" t="n"/>
      <c r="U10" s="14" t="n"/>
      <c r="V10" s="14" t="n"/>
      <c r="W10" s="14" t="n"/>
      <c r="X10" s="12">
        <f>COUNTA(C10:W10)</f>
        <v/>
      </c>
    </row>
    <row r="11">
      <c r="A11" s="12" t="inlineStr">
        <is>
          <t>LV-06</t>
        </is>
      </c>
      <c r="B11" s="12" t="inlineStr">
        <is>
          <t>Leader qui accélère et s'éloigne</t>
        </is>
      </c>
      <c r="C11" s="14" t="n"/>
      <c r="D11" s="13" t="inlineStr">
        <is>
          <t>K</t>
        </is>
      </c>
      <c r="E11" s="14" t="n"/>
      <c r="F11" s="14" t="n"/>
      <c r="G11" s="14" t="n"/>
      <c r="H11" s="14" t="n"/>
      <c r="I11" s="14" t="n"/>
      <c r="J11" s="14" t="n"/>
      <c r="K11" s="14" t="n"/>
      <c r="L11" s="13" t="inlineStr">
        <is>
          <t>K</t>
        </is>
      </c>
      <c r="M11" s="14" t="n"/>
      <c r="N11" s="14" t="n"/>
      <c r="O11" s="14" t="n"/>
      <c r="P11" s="14" t="n"/>
      <c r="Q11" s="14" t="n"/>
      <c r="R11" s="14" t="n"/>
      <c r="S11" s="14" t="n"/>
      <c r="T11" s="14" t="n"/>
      <c r="U11" s="14" t="n"/>
      <c r="V11" s="14" t="n"/>
      <c r="W11" s="14" t="n"/>
      <c r="X11" s="12">
        <f>COUNTA(C11:W11)</f>
        <v/>
      </c>
    </row>
    <row r="12">
      <c r="A12" s="12" t="inlineStr">
        <is>
          <t>LV-07</t>
        </is>
      </c>
      <c r="B12" s="12" t="inlineStr">
        <is>
          <t>Accordéon (stop-and-go)</t>
        </is>
      </c>
      <c r="C12" s="14" t="n"/>
      <c r="D12" s="13" t="inlineStr">
        <is>
          <t>K</t>
        </is>
      </c>
      <c r="E12" s="14" t="n"/>
      <c r="F12" s="14" t="n"/>
      <c r="G12" s="14" t="n"/>
      <c r="H12" s="14" t="n"/>
      <c r="I12" s="14" t="n"/>
      <c r="J12" s="14" t="n"/>
      <c r="K12" s="14" t="n"/>
      <c r="L12" s="13" t="inlineStr">
        <is>
          <t>K</t>
        </is>
      </c>
      <c r="M12" s="14" t="n"/>
      <c r="N12" s="14" t="n"/>
      <c r="O12" s="14" t="n"/>
      <c r="P12" s="14" t="n"/>
      <c r="Q12" s="14" t="n"/>
      <c r="R12" s="14" t="n"/>
      <c r="S12" s="14" t="n"/>
      <c r="T12" s="14" t="n"/>
      <c r="U12" s="14" t="n"/>
      <c r="V12" s="14" t="n"/>
      <c r="W12" s="14" t="n"/>
      <c r="X12" s="12">
        <f>COUNTA(C12:W12)</f>
        <v/>
      </c>
    </row>
    <row r="13">
      <c r="A13" s="12" t="inlineStr">
        <is>
          <t>LV-08</t>
        </is>
      </c>
      <c r="B13" s="12" t="inlineStr">
        <is>
          <t>Leader au comportement erratique</t>
        </is>
      </c>
      <c r="C13" s="14" t="n"/>
      <c r="D13" s="13" t="inlineStr">
        <is>
          <t>K</t>
        </is>
      </c>
      <c r="E13" s="14" t="n"/>
      <c r="F13" s="14" t="n"/>
      <c r="G13" s="14" t="n"/>
      <c r="H13" s="14" t="n"/>
      <c r="I13" s="14" t="n"/>
      <c r="J13" s="14" t="n"/>
      <c r="K13" s="14" t="n"/>
      <c r="L13" s="14" t="n"/>
      <c r="M13" s="14" t="n"/>
      <c r="N13" s="14" t="n"/>
      <c r="O13" s="14" t="n"/>
      <c r="P13" s="14" t="n"/>
      <c r="Q13" s="14" t="n"/>
      <c r="R13" s="14" t="n"/>
      <c r="S13" s="14" t="n"/>
      <c r="T13" s="14" t="n"/>
      <c r="U13" s="14" t="n"/>
      <c r="V13" s="14" t="n"/>
      <c r="W13" s="14" t="n"/>
      <c r="X13" s="12">
        <f>COUNTA(C13:W13)</f>
        <v/>
      </c>
    </row>
    <row r="14">
      <c r="A14" s="12" t="inlineStr">
        <is>
          <t>LV-09</t>
        </is>
      </c>
      <c r="B14" s="12" t="inlineStr">
        <is>
          <t>Moto en leader</t>
        </is>
      </c>
      <c r="C14" s="13" t="inlineStr">
        <is>
          <t>K</t>
        </is>
      </c>
      <c r="D14" s="13" t="inlineStr">
        <is>
          <t>K</t>
        </is>
      </c>
      <c r="E14" s="14" t="n"/>
      <c r="F14" s="14" t="n"/>
      <c r="G14" s="14" t="n"/>
      <c r="H14" s="14" t="n"/>
      <c r="I14" s="14" t="n"/>
      <c r="J14" s="14" t="n"/>
      <c r="K14" s="14" t="n"/>
      <c r="L14" s="14" t="n"/>
      <c r="M14" s="14" t="n"/>
      <c r="N14" s="14" t="n"/>
      <c r="O14" s="14" t="n"/>
      <c r="P14" s="14" t="n"/>
      <c r="Q14" s="14" t="n"/>
      <c r="R14" s="14" t="n"/>
      <c r="S14" s="14" t="n"/>
      <c r="T14" s="14" t="n"/>
      <c r="U14" s="14" t="n"/>
      <c r="V14" s="14" t="n"/>
      <c r="W14" s="14" t="n"/>
      <c r="X14" s="12">
        <f>COUNTA(C14:W14)</f>
        <v/>
      </c>
    </row>
    <row r="15">
      <c r="A15" s="12" t="inlineStr">
        <is>
          <t>LV-10</t>
        </is>
      </c>
      <c r="B15" s="12" t="inlineStr">
        <is>
          <t>Leader camion qui masque la vue</t>
        </is>
      </c>
      <c r="C15" s="14" t="n"/>
      <c r="D15" s="13" t="inlineStr">
        <is>
          <t>K</t>
        </is>
      </c>
      <c r="E15" s="14" t="n"/>
      <c r="F15" s="14" t="n"/>
      <c r="G15" s="14" t="n"/>
      <c r="H15" s="14" t="n"/>
      <c r="I15" s="13" t="inlineStr">
        <is>
          <t>I</t>
        </is>
      </c>
      <c r="J15" s="14" t="n"/>
      <c r="K15" s="14" t="n"/>
      <c r="L15" s="14" t="n"/>
      <c r="M15" s="14" t="n"/>
      <c r="N15" s="14" t="n"/>
      <c r="O15" s="14" t="n"/>
      <c r="P15" s="14" t="n"/>
      <c r="Q15" s="14" t="n"/>
      <c r="R15" s="14" t="n"/>
      <c r="S15" s="14" t="n"/>
      <c r="T15" s="14" t="n"/>
      <c r="U15" s="14" t="n"/>
      <c r="V15" s="14" t="n"/>
      <c r="W15" s="14" t="n"/>
      <c r="X15" s="12">
        <f>COUNTA(C15:W15)</f>
        <v/>
      </c>
    </row>
    <row r="16">
      <c r="A16" s="12" t="inlineStr">
        <is>
          <t>LV-11</t>
        </is>
      </c>
      <c r="B16" s="12" t="inlineStr">
        <is>
          <t>Le leader change de voie et libère la voie (cut-out)</t>
        </is>
      </c>
      <c r="C16" s="13" t="inlineStr">
        <is>
          <t>K</t>
        </is>
      </c>
      <c r="D16" s="13" t="inlineStr">
        <is>
          <t>K</t>
        </is>
      </c>
      <c r="E16" s="14" t="n"/>
      <c r="F16" s="14" t="n"/>
      <c r="G16" s="14" t="n"/>
      <c r="H16" s="14" t="n"/>
      <c r="I16" s="14" t="n"/>
      <c r="J16" s="14" t="n"/>
      <c r="K16" s="14" t="n"/>
      <c r="L16" s="14" t="n"/>
      <c r="M16" s="14" t="n"/>
      <c r="N16" s="14" t="n"/>
      <c r="O16" s="14" t="n"/>
      <c r="P16" s="14" t="n"/>
      <c r="Q16" s="14" t="n"/>
      <c r="R16" s="14" t="n"/>
      <c r="S16" s="14" t="n"/>
      <c r="T16" s="14" t="n"/>
      <c r="U16" s="14" t="n"/>
      <c r="V16" s="14" t="n"/>
      <c r="W16" s="14" t="n"/>
      <c r="X16" s="12">
        <f>COUNTA(C16:W16)</f>
        <v/>
      </c>
    </row>
    <row r="17">
      <c r="A17" s="9" t="inlineStr">
        <is>
          <t>CI · Insertion devant le SDT (cut-in)</t>
        </is>
      </c>
      <c r="B17" s="10"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0" t="n"/>
    </row>
    <row r="18">
      <c r="A18" s="12" t="inlineStr">
        <is>
          <t>CI-01</t>
        </is>
      </c>
      <c r="B18" s="12" t="inlineStr">
        <is>
          <t>Cut-in depuis la gauche, gap suffisant</t>
        </is>
      </c>
      <c r="C18" s="13" t="inlineStr">
        <is>
          <t>K</t>
        </is>
      </c>
      <c r="D18" s="13" t="inlineStr">
        <is>
          <t>K</t>
        </is>
      </c>
      <c r="E18" s="14" t="n"/>
      <c r="F18" s="14" t="n"/>
      <c r="G18" s="14" t="n"/>
      <c r="H18" s="14" t="n"/>
      <c r="I18" s="14" t="n"/>
      <c r="J18" s="14" t="n"/>
      <c r="K18" s="14" t="n"/>
      <c r="L18" s="13" t="inlineStr">
        <is>
          <t>K</t>
        </is>
      </c>
      <c r="M18" s="14" t="n"/>
      <c r="N18" s="14" t="n"/>
      <c r="O18" s="14" t="n"/>
      <c r="P18" s="14" t="n"/>
      <c r="Q18" s="14" t="n"/>
      <c r="R18" s="14" t="n"/>
      <c r="S18" s="14" t="n"/>
      <c r="T18" s="14" t="n"/>
      <c r="U18" s="14" t="n"/>
      <c r="V18" s="14" t="n"/>
      <c r="W18" s="14" t="n"/>
      <c r="X18" s="12">
        <f>COUNTA(C18:W18)</f>
        <v/>
      </c>
    </row>
    <row r="19">
      <c r="A19" s="12" t="inlineStr">
        <is>
          <t>CI-02</t>
        </is>
      </c>
      <c r="B19" s="12" t="inlineStr">
        <is>
          <t>Cut-in serré depuis la gauche</t>
        </is>
      </c>
      <c r="C19" s="13" t="inlineStr">
        <is>
          <t>K</t>
        </is>
      </c>
      <c r="D19" s="13" t="inlineStr">
        <is>
          <t>K</t>
        </is>
      </c>
      <c r="E19" s="14" t="n"/>
      <c r="F19" s="14" t="n"/>
      <c r="G19" s="14" t="n"/>
      <c r="H19" s="14" t="n"/>
      <c r="I19" s="13" t="inlineStr">
        <is>
          <t>I</t>
        </is>
      </c>
      <c r="J19" s="14" t="n"/>
      <c r="K19" s="14" t="n"/>
      <c r="L19" s="14" t="n"/>
      <c r="M19" s="14" t="n"/>
      <c r="N19" s="14" t="n"/>
      <c r="O19" s="14" t="n"/>
      <c r="P19" s="14" t="n"/>
      <c r="Q19" s="14" t="n"/>
      <c r="R19" s="14" t="n"/>
      <c r="S19" s="14" t="n"/>
      <c r="T19" s="14" t="n"/>
      <c r="U19" s="14" t="n"/>
      <c r="V19" s="14" t="n"/>
      <c r="W19" s="14" t="n"/>
      <c r="X19" s="12">
        <f>COUNTA(C19:W19)</f>
        <v/>
      </c>
    </row>
    <row r="20">
      <c r="A20" s="12" t="inlineStr">
        <is>
          <t>CI-03</t>
        </is>
      </c>
      <c r="B20" s="12" t="inlineStr">
        <is>
          <t>Cut-in depuis la droite</t>
        </is>
      </c>
      <c r="C20" s="13" t="inlineStr">
        <is>
          <t>K</t>
        </is>
      </c>
      <c r="D20" s="13" t="inlineStr">
        <is>
          <t>K</t>
        </is>
      </c>
      <c r="E20" s="14" t="n"/>
      <c r="F20" s="14" t="n"/>
      <c r="G20" s="14" t="n"/>
      <c r="H20" s="14" t="n"/>
      <c r="I20" s="14" t="n"/>
      <c r="J20" s="14" t="n"/>
      <c r="K20" s="14" t="n"/>
      <c r="L20" s="14" t="n"/>
      <c r="M20" s="14" t="n"/>
      <c r="N20" s="14" t="n"/>
      <c r="O20" s="14" t="n"/>
      <c r="P20" s="14" t="n"/>
      <c r="Q20" s="14" t="n"/>
      <c r="R20" s="14" t="n"/>
      <c r="S20" s="14" t="n"/>
      <c r="T20" s="14" t="n"/>
      <c r="U20" s="14" t="n"/>
      <c r="V20" s="14" t="n"/>
      <c r="W20" s="14" t="n"/>
      <c r="X20" s="12">
        <f>COUNTA(C20:W20)</f>
        <v/>
      </c>
    </row>
    <row r="21">
      <c r="A21" s="12" t="inlineStr">
        <is>
          <t>CI-04</t>
        </is>
      </c>
      <c r="B21" s="12" t="inlineStr">
        <is>
          <t>Cut-in d'un véhicule plus lent</t>
        </is>
      </c>
      <c r="C21" s="13" t="inlineStr">
        <is>
          <t>K</t>
        </is>
      </c>
      <c r="D21" s="13" t="inlineStr">
        <is>
          <t>K</t>
        </is>
      </c>
      <c r="E21" s="14" t="n"/>
      <c r="F21" s="14" t="n"/>
      <c r="G21" s="14" t="n"/>
      <c r="H21" s="14" t="n"/>
      <c r="I21" s="14" t="n"/>
      <c r="J21" s="14" t="n"/>
      <c r="K21" s="14" t="n"/>
      <c r="L21" s="14" t="n"/>
      <c r="M21" s="14" t="n"/>
      <c r="N21" s="14" t="n"/>
      <c r="O21" s="14" t="n"/>
      <c r="P21" s="14" t="n"/>
      <c r="Q21" s="14" t="n"/>
      <c r="R21" s="14" t="n"/>
      <c r="S21" s="14" t="n"/>
      <c r="T21" s="14" t="n"/>
      <c r="U21" s="14" t="n"/>
      <c r="V21" s="14" t="n"/>
      <c r="W21" s="14" t="n"/>
      <c r="X21" s="12">
        <f>COUNTA(C21:W21)</f>
        <v/>
      </c>
    </row>
    <row r="22">
      <c r="A22" s="12" t="inlineStr">
        <is>
          <t>CI-05</t>
        </is>
      </c>
      <c r="B22" s="12" t="inlineStr">
        <is>
          <t>Cut-in d'un semi-remorque</t>
        </is>
      </c>
      <c r="C22" s="13" t="inlineStr">
        <is>
          <t>K</t>
        </is>
      </c>
      <c r="D22" s="13" t="inlineStr">
        <is>
          <t>K</t>
        </is>
      </c>
      <c r="E22" s="14" t="n"/>
      <c r="F22" s="14" t="n"/>
      <c r="G22" s="14" t="n"/>
      <c r="H22" s="14" t="n"/>
      <c r="I22" s="14" t="n"/>
      <c r="J22" s="14" t="n"/>
      <c r="K22" s="14" t="n"/>
      <c r="L22" s="14" t="n"/>
      <c r="M22" s="14" t="n"/>
      <c r="N22" s="14" t="n"/>
      <c r="O22" s="14" t="n"/>
      <c r="P22" s="14" t="n"/>
      <c r="Q22" s="14" t="n"/>
      <c r="R22" s="14" t="n"/>
      <c r="S22" s="14" t="n"/>
      <c r="T22" s="14" t="n"/>
      <c r="U22" s="14" t="n"/>
      <c r="V22" s="14" t="n"/>
      <c r="W22" s="14" t="n"/>
      <c r="X22" s="12">
        <f>COUNTA(C22:W22)</f>
        <v/>
      </c>
    </row>
    <row r="23">
      <c r="A23" s="12" t="inlineStr">
        <is>
          <t>CI-06</t>
        </is>
      </c>
      <c r="B23" s="12" t="inlineStr">
        <is>
          <t>Insertion depuis la bretelle devant le SDT</t>
        </is>
      </c>
      <c r="C23" s="13" t="inlineStr">
        <is>
          <t>K</t>
        </is>
      </c>
      <c r="D23" s="13" t="inlineStr">
        <is>
          <t>K</t>
        </is>
      </c>
      <c r="E23" s="14" t="n"/>
      <c r="F23" s="14" t="n"/>
      <c r="G23" s="14" t="n"/>
      <c r="H23" s="14" t="n"/>
      <c r="I23" s="14" t="n"/>
      <c r="J23" s="14" t="n"/>
      <c r="K23" s="14" t="n"/>
      <c r="L23" s="14" t="n"/>
      <c r="M23" s="14" t="n"/>
      <c r="N23" s="14" t="n"/>
      <c r="O23" s="14" t="n"/>
      <c r="P23" s="14" t="n"/>
      <c r="Q23" s="14" t="n"/>
      <c r="R23" s="14" t="n"/>
      <c r="S23" s="14" t="n"/>
      <c r="T23" s="14" t="n"/>
      <c r="U23" s="14" t="n"/>
      <c r="V23" s="14" t="n"/>
      <c r="W23" s="14" t="n"/>
      <c r="X23" s="12">
        <f>COUNTA(C23:W23)</f>
        <v/>
      </c>
    </row>
    <row r="24">
      <c r="A24" s="12" t="inlineStr">
        <is>
          <t>CI-07</t>
        </is>
      </c>
      <c r="B24" s="12" t="inlineStr">
        <is>
          <t>Brake-check après un rabattement</t>
        </is>
      </c>
      <c r="C24" s="14" t="n"/>
      <c r="D24" s="13" t="inlineStr">
        <is>
          <t>K</t>
        </is>
      </c>
      <c r="E24" s="14" t="n"/>
      <c r="F24" s="14" t="n"/>
      <c r="G24" s="14" t="n"/>
      <c r="H24" s="14" t="n"/>
      <c r="I24" s="13" t="inlineStr">
        <is>
          <t>I</t>
        </is>
      </c>
      <c r="J24" s="14" t="n"/>
      <c r="K24" s="14" t="n"/>
      <c r="L24" s="14" t="n"/>
      <c r="M24" s="14" t="n"/>
      <c r="N24" s="14" t="n"/>
      <c r="O24" s="14" t="n"/>
      <c r="P24" s="14" t="n"/>
      <c r="Q24" s="14" t="n"/>
      <c r="R24" s="14" t="n"/>
      <c r="S24" s="14" t="n"/>
      <c r="T24" s="14" t="n"/>
      <c r="U24" s="14" t="n"/>
      <c r="V24" s="14" t="n"/>
      <c r="W24" s="14" t="n"/>
      <c r="X24" s="12">
        <f>COUNTA(C24:W24)</f>
        <v/>
      </c>
    </row>
    <row r="25">
      <c r="A25" s="12" t="inlineStr">
        <is>
          <t>CI-08</t>
        </is>
      </c>
      <c r="B25" s="12" t="inlineStr">
        <is>
          <t>Deux véhicules se rabattent l'un après l'autre</t>
        </is>
      </c>
      <c r="C25" s="13" t="inlineStr">
        <is>
          <t>K</t>
        </is>
      </c>
      <c r="D25" s="13" t="inlineStr">
        <is>
          <t>K</t>
        </is>
      </c>
      <c r="E25" s="14" t="n"/>
      <c r="F25" s="14" t="n"/>
      <c r="G25" s="14" t="n"/>
      <c r="H25" s="14" t="n"/>
      <c r="I25" s="14" t="n"/>
      <c r="J25" s="14" t="n"/>
      <c r="K25" s="14" t="n"/>
      <c r="L25" s="14" t="n"/>
      <c r="M25" s="14" t="n"/>
      <c r="N25" s="14" t="n"/>
      <c r="O25" s="14" t="n"/>
      <c r="P25" s="14" t="n"/>
      <c r="Q25" s="14" t="n"/>
      <c r="R25" s="14" t="n"/>
      <c r="S25" s="14" t="n"/>
      <c r="T25" s="14" t="n"/>
      <c r="U25" s="14" t="n"/>
      <c r="V25" s="14" t="n"/>
      <c r="W25" s="14" t="n"/>
      <c r="X25" s="12">
        <f>COUNTA(C25:W25)</f>
        <v/>
      </c>
    </row>
    <row r="26">
      <c r="A26" s="9" t="inlineStr">
        <is>
          <t>ADJ · Véhicules adjacents</t>
        </is>
      </c>
      <c r="B26" s="10"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0" t="n"/>
    </row>
    <row r="27">
      <c r="A27" s="12" t="inlineStr">
        <is>
          <t>ADJ-01</t>
        </is>
      </c>
      <c r="B27" s="12" t="inlineStr">
        <is>
          <t>Véhicule adjacent qui dérive vers le SDT</t>
        </is>
      </c>
      <c r="C27" s="13" t="inlineStr">
        <is>
          <t>K</t>
        </is>
      </c>
      <c r="D27" s="13" t="inlineStr">
        <is>
          <t>K</t>
        </is>
      </c>
      <c r="E27" s="14" t="n"/>
      <c r="F27" s="14" t="n"/>
      <c r="G27" s="14" t="n"/>
      <c r="H27" s="14" t="n"/>
      <c r="I27" s="14" t="n"/>
      <c r="J27" s="13" t="inlineStr">
        <is>
          <t>E</t>
        </is>
      </c>
      <c r="K27" s="14" t="n"/>
      <c r="L27" s="14" t="n"/>
      <c r="M27" s="14" t="n"/>
      <c r="N27" s="14" t="n"/>
      <c r="O27" s="14" t="n"/>
      <c r="P27" s="14" t="n"/>
      <c r="Q27" s="14" t="n"/>
      <c r="R27" s="14" t="n"/>
      <c r="S27" s="14" t="n"/>
      <c r="T27" s="14" t="n"/>
      <c r="U27" s="14" t="n"/>
      <c r="V27" s="14" t="n"/>
      <c r="W27" s="14" t="n"/>
      <c r="X27" s="12">
        <f>COUNTA(C27:W27)</f>
        <v/>
      </c>
    </row>
    <row r="28">
      <c r="A28" s="12" t="inlineStr">
        <is>
          <t>ADJ-02</t>
        </is>
      </c>
      <c r="B28" s="12" t="inlineStr">
        <is>
          <t>Semi adjacent dont la remorque louvoie</t>
        </is>
      </c>
      <c r="C28" s="13" t="inlineStr">
        <is>
          <t>K</t>
        </is>
      </c>
      <c r="D28" s="13" t="inlineStr">
        <is>
          <t>K</t>
        </is>
      </c>
      <c r="E28" s="14" t="n"/>
      <c r="F28" s="14" t="n"/>
      <c r="G28" s="14" t="n"/>
      <c r="H28" s="14" t="n"/>
      <c r="I28" s="14" t="n"/>
      <c r="J28" s="14" t="n"/>
      <c r="K28" s="14" t="n"/>
      <c r="L28" s="14" t="n"/>
      <c r="M28" s="14" t="n"/>
      <c r="N28" s="14" t="n"/>
      <c r="O28" s="14" t="n"/>
      <c r="P28" s="14" t="n"/>
      <c r="Q28" s="14" t="n"/>
      <c r="R28" s="14" t="n"/>
      <c r="S28" s="14" t="n"/>
      <c r="T28" s="14" t="n"/>
      <c r="U28" s="14" t="n"/>
      <c r="V28" s="14" t="n"/>
      <c r="W28" s="14" t="n"/>
      <c r="X28" s="12">
        <f>COUNTA(C28:W28)</f>
        <v/>
      </c>
    </row>
    <row r="29">
      <c r="A29" s="12" t="inlineStr">
        <is>
          <t>ADJ-03</t>
        </is>
      </c>
      <c r="B29" s="12" t="inlineStr">
        <is>
          <t>Moto qui remonte les files</t>
        </is>
      </c>
      <c r="C29" s="13" t="inlineStr">
        <is>
          <t>K</t>
        </is>
      </c>
      <c r="D29" s="13" t="inlineStr">
        <is>
          <t>K</t>
        </is>
      </c>
      <c r="E29" s="14" t="n"/>
      <c r="F29" s="14" t="n"/>
      <c r="G29" s="14" t="n"/>
      <c r="H29" s="14" t="n"/>
      <c r="I29" s="14" t="n"/>
      <c r="J29" s="14" t="n"/>
      <c r="K29" s="14" t="n"/>
      <c r="L29" s="14" t="n"/>
      <c r="M29" s="14" t="n"/>
      <c r="N29" s="14" t="n"/>
      <c r="O29" s="14" t="n"/>
      <c r="P29" s="14" t="n"/>
      <c r="Q29" s="14" t="n"/>
      <c r="R29" s="14" t="n"/>
      <c r="S29" s="14" t="n"/>
      <c r="T29" s="14" t="n"/>
      <c r="U29" s="14" t="n"/>
      <c r="V29" s="14" t="n"/>
      <c r="W29" s="14" t="n"/>
      <c r="X29" s="12">
        <f>COUNTA(C29:W29)</f>
        <v/>
      </c>
    </row>
    <row r="30">
      <c r="A30" s="12" t="inlineStr">
        <is>
          <t>ADJ-04</t>
        </is>
      </c>
      <c r="B30" s="12" t="inlineStr">
        <is>
          <t>Dépassement rapide et serré</t>
        </is>
      </c>
      <c r="C30" s="13" t="inlineStr">
        <is>
          <t>K</t>
        </is>
      </c>
      <c r="D30" s="13" t="inlineStr">
        <is>
          <t>K</t>
        </is>
      </c>
      <c r="E30" s="14" t="n"/>
      <c r="F30" s="14" t="n"/>
      <c r="G30" s="14" t="n"/>
      <c r="H30" s="14" t="n"/>
      <c r="I30" s="14" t="n"/>
      <c r="J30" s="14" t="n"/>
      <c r="K30" s="14" t="n"/>
      <c r="L30" s="14" t="n"/>
      <c r="M30" s="14" t="n"/>
      <c r="N30" s="14" t="n"/>
      <c r="O30" s="14" t="n"/>
      <c r="P30" s="14" t="n"/>
      <c r="Q30" s="14" t="n"/>
      <c r="R30" s="14" t="n"/>
      <c r="S30" s="14" t="n"/>
      <c r="T30" s="14" t="n"/>
      <c r="U30" s="14" t="n"/>
      <c r="V30" s="14" t="n"/>
      <c r="W30" s="14" t="n"/>
      <c r="X30" s="12">
        <f>COUNTA(C30:W30)</f>
        <v/>
      </c>
    </row>
    <row r="31">
      <c r="A31" s="12" t="inlineStr">
        <is>
          <t>ADJ-05</t>
        </is>
      </c>
      <c r="B31" s="12" t="inlineStr">
        <is>
          <t>Convoi lent dans la voie adjacente</t>
        </is>
      </c>
      <c r="C31" s="13" t="inlineStr">
        <is>
          <t>K</t>
        </is>
      </c>
      <c r="D31" s="13" t="inlineStr">
        <is>
          <t>K</t>
        </is>
      </c>
      <c r="E31" s="13" t="inlineStr">
        <is>
          <t>L</t>
        </is>
      </c>
      <c r="F31" s="14" t="n"/>
      <c r="G31" s="14" t="n"/>
      <c r="H31" s="14" t="n"/>
      <c r="I31" s="14" t="n"/>
      <c r="J31" s="14" t="n"/>
      <c r="K31" s="14" t="n"/>
      <c r="L31" s="14" t="n"/>
      <c r="M31" s="14" t="n"/>
      <c r="N31" s="14" t="n"/>
      <c r="O31" s="14" t="n"/>
      <c r="P31" s="14" t="n"/>
      <c r="Q31" s="14" t="n"/>
      <c r="R31" s="14" t="n"/>
      <c r="S31" s="14" t="n"/>
      <c r="T31" s="14" t="n"/>
      <c r="U31" s="14" t="n"/>
      <c r="V31" s="14" t="n"/>
      <c r="W31" s="14" t="n"/>
      <c r="X31" s="12">
        <f>COUNTA(C31:W31)</f>
        <v/>
      </c>
    </row>
    <row r="32">
      <c r="A32" s="12" t="inlineStr">
        <is>
          <t>ADJ-06</t>
        </is>
      </c>
      <c r="B32" s="12" t="inlineStr">
        <is>
          <t>Véhicule adjacent qui serre la ligne (lane hugger)</t>
        </is>
      </c>
      <c r="C32" s="13" t="inlineStr">
        <is>
          <t>K</t>
        </is>
      </c>
      <c r="D32" s="13" t="inlineStr">
        <is>
          <t>K</t>
        </is>
      </c>
      <c r="E32" s="13" t="inlineStr">
        <is>
          <t>L</t>
        </is>
      </c>
      <c r="F32" s="14" t="n"/>
      <c r="G32" s="14" t="n"/>
      <c r="H32" s="14" t="n"/>
      <c r="I32" s="14" t="n"/>
      <c r="J32" s="14" t="n"/>
      <c r="K32" s="14" t="n"/>
      <c r="L32" s="14" t="n"/>
      <c r="M32" s="14" t="n"/>
      <c r="N32" s="14" t="n"/>
      <c r="O32" s="14" t="n"/>
      <c r="P32" s="14" t="n"/>
      <c r="Q32" s="14" t="n"/>
      <c r="R32" s="14" t="n"/>
      <c r="S32" s="14" t="n"/>
      <c r="T32" s="14" t="n"/>
      <c r="U32" s="14" t="n"/>
      <c r="V32" s="14" t="n"/>
      <c r="W32" s="14" t="n"/>
      <c r="X32" s="12">
        <f>COUNTA(C32:W32)</f>
        <v/>
      </c>
    </row>
    <row r="33">
      <c r="A33" s="12" t="inlineStr">
        <is>
          <t>ADJ-07</t>
        </is>
      </c>
      <c r="B33" s="12" t="inlineStr">
        <is>
          <t>File de véhicules arrêtés dans la voie adjacente</t>
        </is>
      </c>
      <c r="C33" s="13" t="inlineStr">
        <is>
          <t>K</t>
        </is>
      </c>
      <c r="D33" s="13" t="inlineStr">
        <is>
          <t>K</t>
        </is>
      </c>
      <c r="E33" s="13" t="inlineStr">
        <is>
          <t>L</t>
        </is>
      </c>
      <c r="F33" s="14" t="n"/>
      <c r="G33" s="14" t="n"/>
      <c r="H33" s="14" t="n"/>
      <c r="I33" s="14" t="n"/>
      <c r="J33" s="14" t="n"/>
      <c r="K33" s="14" t="n"/>
      <c r="L33" s="14" t="n"/>
      <c r="M33" s="14" t="n"/>
      <c r="N33" s="14" t="n"/>
      <c r="O33" s="14" t="n"/>
      <c r="P33" s="14" t="n"/>
      <c r="Q33" s="14" t="n"/>
      <c r="R33" s="14" t="n"/>
      <c r="S33" s="14" t="n"/>
      <c r="T33" s="14" t="n"/>
      <c r="U33" s="14" t="n"/>
      <c r="V33" s="14" t="n"/>
      <c r="W33" s="14" t="n"/>
      <c r="X33" s="12">
        <f>COUNTA(C33:W33)</f>
        <v/>
      </c>
    </row>
    <row r="34">
      <c r="A34" s="9" t="inlineStr">
        <is>
          <t>LC-NOM · Changement de voie nominal</t>
        </is>
      </c>
      <c r="B34" s="10"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0" t="n"/>
    </row>
    <row r="35">
      <c r="A35" s="12" t="inlineStr">
        <is>
          <t>LC-NOM-01</t>
        </is>
      </c>
      <c r="B35" s="12" t="inlineStr">
        <is>
          <t>lane change free target lane</t>
        </is>
      </c>
      <c r="C35" s="14" t="n"/>
      <c r="D35" s="14" t="n"/>
      <c r="E35" s="13" t="inlineStr">
        <is>
          <t>L</t>
        </is>
      </c>
      <c r="F35" s="14" t="n"/>
      <c r="G35" s="14" t="n"/>
      <c r="H35" s="14" t="n"/>
      <c r="I35" s="14" t="n"/>
      <c r="J35" s="14" t="n"/>
      <c r="K35" s="14" t="n"/>
      <c r="L35" s="14" t="n"/>
      <c r="M35" s="13" t="inlineStr">
        <is>
          <t>L</t>
        </is>
      </c>
      <c r="N35" s="14" t="n"/>
      <c r="O35" s="14" t="n"/>
      <c r="P35" s="14" t="n"/>
      <c r="Q35" s="14" t="n"/>
      <c r="R35" s="14" t="n"/>
      <c r="S35" s="14" t="n"/>
      <c r="T35" s="14" t="n"/>
      <c r="U35" s="14" t="n"/>
      <c r="V35" s="14" t="n"/>
      <c r="W35" s="14" t="n"/>
      <c r="X35" s="12">
        <f>COUNTA(C35:W35)</f>
        <v/>
      </c>
    </row>
    <row r="36">
      <c r="A36" s="12" t="inlineStr">
        <is>
          <t>LC-NOM-02</t>
        </is>
      </c>
      <c r="B36" s="12" t="inlineStr">
        <is>
          <t>lane change into gap with surrounding traffic</t>
        </is>
      </c>
      <c r="C36" s="14" t="n"/>
      <c r="D36" s="14" t="n"/>
      <c r="E36" s="13" t="inlineStr">
        <is>
          <t>L</t>
        </is>
      </c>
      <c r="F36" s="14" t="n"/>
      <c r="G36" s="14" t="n"/>
      <c r="H36" s="14" t="n"/>
      <c r="I36" s="14" t="n"/>
      <c r="J36" s="14" t="n"/>
      <c r="K36" s="14" t="n"/>
      <c r="L36" s="14" t="n"/>
      <c r="M36" s="13" t="inlineStr">
        <is>
          <t>L</t>
        </is>
      </c>
      <c r="N36" s="14" t="n"/>
      <c r="O36" s="14" t="n"/>
      <c r="P36" s="14" t="n"/>
      <c r="Q36" s="14" t="n"/>
      <c r="R36" s="14" t="n"/>
      <c r="S36" s="14" t="n"/>
      <c r="T36" s="14" t="n"/>
      <c r="U36" s="14" t="n"/>
      <c r="V36" s="14" t="n"/>
      <c r="W36" s="14" t="n"/>
      <c r="X36" s="12">
        <f>COUNTA(C36:W36)</f>
        <v/>
      </c>
    </row>
    <row r="37">
      <c r="A37" s="12" t="inlineStr">
        <is>
          <t>LC-NOM-03</t>
        </is>
      </c>
      <c r="B37" s="12" t="inlineStr">
        <is>
          <t>overtake slow lead</t>
        </is>
      </c>
      <c r="C37" s="14" t="n"/>
      <c r="D37" s="14" t="n"/>
      <c r="E37" s="13" t="inlineStr">
        <is>
          <t>L</t>
        </is>
      </c>
      <c r="F37" s="14" t="n"/>
      <c r="G37" s="14" t="n"/>
      <c r="H37" s="14" t="n"/>
      <c r="I37" s="14" t="n"/>
      <c r="J37" s="14" t="n"/>
      <c r="K37" s="14" t="n"/>
      <c r="L37" s="14" t="n"/>
      <c r="M37" s="14" t="n"/>
      <c r="N37" s="14" t="n"/>
      <c r="O37" s="14" t="n"/>
      <c r="P37" s="14" t="n"/>
      <c r="Q37" s="14" t="n"/>
      <c r="R37" s="14" t="n"/>
      <c r="S37" s="14" t="n"/>
      <c r="T37" s="14" t="n"/>
      <c r="U37" s="14" t="n"/>
      <c r="V37" s="14" t="n"/>
      <c r="W37" s="14" t="n"/>
      <c r="X37" s="12">
        <f>COUNTA(C37:W37)</f>
        <v/>
      </c>
    </row>
    <row r="38">
      <c r="A38" s="12" t="inlineStr">
        <is>
          <t>LC-NOM-04</t>
        </is>
      </c>
      <c r="B38" s="12" t="inlineStr">
        <is>
          <t>return lane after overtake</t>
        </is>
      </c>
      <c r="C38" s="14" t="n"/>
      <c r="D38" s="14" t="n"/>
      <c r="E38" s="13" t="inlineStr">
        <is>
          <t>L</t>
        </is>
      </c>
      <c r="F38" s="14" t="n"/>
      <c r="G38" s="14" t="n"/>
      <c r="H38" s="14" t="n"/>
      <c r="I38" s="14" t="n"/>
      <c r="J38" s="14" t="n"/>
      <c r="K38" s="14" t="n"/>
      <c r="L38" s="14" t="n"/>
      <c r="M38" s="14" t="n"/>
      <c r="N38" s="14" t="n"/>
      <c r="O38" s="14" t="n"/>
      <c r="P38" s="14" t="n"/>
      <c r="Q38" s="14" t="n"/>
      <c r="R38" s="14" t="n"/>
      <c r="S38" s="14" t="n"/>
      <c r="T38" s="14" t="n"/>
      <c r="U38" s="14" t="n"/>
      <c r="V38" s="14" t="n"/>
      <c r="W38" s="14" t="n"/>
      <c r="X38" s="12">
        <f>COUNTA(C38:W38)</f>
        <v/>
      </c>
    </row>
    <row r="39">
      <c r="A39" s="9" t="inlineStr">
        <is>
          <t>LC-TGT · Trafic dans la voie cible</t>
        </is>
      </c>
      <c r="B39" s="10"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0" t="n"/>
    </row>
    <row r="40">
      <c r="A40" s="12" t="inlineStr">
        <is>
          <t>LC-TGT-01</t>
        </is>
      </c>
      <c r="B40" s="12" t="inlineStr">
        <is>
          <t>lane change with fast rear approach</t>
        </is>
      </c>
      <c r="C40" s="14" t="n"/>
      <c r="D40" s="14" t="n"/>
      <c r="E40" s="13" t="inlineStr">
        <is>
          <t>L</t>
        </is>
      </c>
      <c r="F40" s="14" t="n"/>
      <c r="G40" s="14" t="n"/>
      <c r="H40" s="14" t="n"/>
      <c r="I40" s="14" t="n"/>
      <c r="J40" s="14" t="n"/>
      <c r="K40" s="14" t="n"/>
      <c r="L40" s="14" t="n"/>
      <c r="M40" s="13" t="inlineStr">
        <is>
          <t>L</t>
        </is>
      </c>
      <c r="N40" s="14" t="n"/>
      <c r="O40" s="14" t="n"/>
      <c r="P40" s="14" t="n"/>
      <c r="Q40" s="14" t="n"/>
      <c r="R40" s="14" t="n"/>
      <c r="S40" s="14" t="n"/>
      <c r="T40" s="14" t="n"/>
      <c r="U40" s="14" t="n"/>
      <c r="V40" s="14" t="n"/>
      <c r="W40" s="14" t="n"/>
      <c r="X40" s="12">
        <f>COUNTA(C40:W40)</f>
        <v/>
      </c>
    </row>
    <row r="41">
      <c r="A41" s="12" t="inlineStr">
        <is>
          <t>LC-TGT-02</t>
        </is>
      </c>
      <c r="B41" s="12" t="inlineStr">
        <is>
          <t>lane change with simultaneous merge from far lane</t>
        </is>
      </c>
      <c r="C41" s="14" t="n"/>
      <c r="D41" s="14" t="n"/>
      <c r="E41" s="13" t="inlineStr">
        <is>
          <t>L</t>
        </is>
      </c>
      <c r="F41" s="14" t="n"/>
      <c r="G41" s="14" t="n"/>
      <c r="H41" s="14" t="n"/>
      <c r="I41" s="14" t="n"/>
      <c r="J41" s="14" t="n"/>
      <c r="K41" s="14" t="n"/>
      <c r="L41" s="14" t="n"/>
      <c r="M41" s="14" t="n"/>
      <c r="N41" s="14" t="n"/>
      <c r="O41" s="14" t="n"/>
      <c r="P41" s="14" t="n"/>
      <c r="Q41" s="14" t="n"/>
      <c r="R41" s="14" t="n"/>
      <c r="S41" s="14" t="n"/>
      <c r="T41" s="14" t="n"/>
      <c r="U41" s="14" t="n"/>
      <c r="V41" s="14" t="n"/>
      <c r="W41" s="14" t="n"/>
      <c r="X41" s="12">
        <f>COUNTA(C41:W41)</f>
        <v/>
      </c>
    </row>
    <row r="42">
      <c r="A42" s="12" t="inlineStr">
        <is>
          <t>LC-TGT-03</t>
        </is>
      </c>
      <c r="B42" s="12" t="inlineStr">
        <is>
          <t>lane change with closing gap</t>
        </is>
      </c>
      <c r="C42" s="14" t="n"/>
      <c r="D42" s="14" t="n"/>
      <c r="E42" s="13" t="inlineStr">
        <is>
          <t>L</t>
        </is>
      </c>
      <c r="F42" s="13" t="inlineStr">
        <is>
          <t>L</t>
        </is>
      </c>
      <c r="G42" s="14" t="n"/>
      <c r="H42" s="14" t="n"/>
      <c r="I42" s="14" t="n"/>
      <c r="J42" s="14" t="n"/>
      <c r="K42" s="14" t="n"/>
      <c r="L42" s="14" t="n"/>
      <c r="M42" s="14" t="n"/>
      <c r="N42" s="14" t="n"/>
      <c r="O42" s="14" t="n"/>
      <c r="P42" s="14" t="n"/>
      <c r="Q42" s="14" t="n"/>
      <c r="R42" s="14" t="n"/>
      <c r="S42" s="14" t="n"/>
      <c r="T42" s="14" t="n"/>
      <c r="U42" s="14" t="n"/>
      <c r="V42" s="14" t="n"/>
      <c r="W42" s="14" t="n"/>
      <c r="X42" s="12">
        <f>COUNTA(C42:W42)</f>
        <v/>
      </c>
    </row>
    <row r="43">
      <c r="A43" s="12" t="inlineStr">
        <is>
          <t>LC-TGT-04</t>
        </is>
      </c>
      <c r="B43" s="12" t="inlineStr">
        <is>
          <t>lane change with target lead braking</t>
        </is>
      </c>
      <c r="C43" s="14" t="n"/>
      <c r="D43" s="14" t="n"/>
      <c r="E43" s="13" t="inlineStr">
        <is>
          <t>L</t>
        </is>
      </c>
      <c r="F43" s="14" t="n"/>
      <c r="G43" s="14" t="n"/>
      <c r="H43" s="14" t="n"/>
      <c r="I43" s="14" t="n"/>
      <c r="J43" s="14" t="n"/>
      <c r="K43" s="14" t="n"/>
      <c r="L43" s="14" t="n"/>
      <c r="M43" s="14" t="n"/>
      <c r="N43" s="14" t="n"/>
      <c r="O43" s="14" t="n"/>
      <c r="P43" s="14" t="n"/>
      <c r="Q43" s="14" t="n"/>
      <c r="R43" s="14" t="n"/>
      <c r="S43" s="14" t="n"/>
      <c r="T43" s="14" t="n"/>
      <c r="U43" s="14" t="n"/>
      <c r="V43" s="14" t="n"/>
      <c r="W43" s="14" t="n"/>
      <c r="X43" s="12">
        <f>COUNTA(C43:W43)</f>
        <v/>
      </c>
    </row>
    <row r="44">
      <c r="A44" s="12" t="inlineStr">
        <is>
          <t>LC-TGT-05</t>
        </is>
      </c>
      <c r="B44" s="12" t="inlineStr">
        <is>
          <t>lane change with vehicle alongside trailer</t>
        </is>
      </c>
      <c r="C44" s="14" t="n"/>
      <c r="D44" s="14" t="n"/>
      <c r="E44" s="13" t="inlineStr">
        <is>
          <t>L</t>
        </is>
      </c>
      <c r="F44" s="14" t="n"/>
      <c r="G44" s="14" t="n"/>
      <c r="H44" s="14" t="n"/>
      <c r="I44" s="14" t="n"/>
      <c r="J44" s="14" t="n"/>
      <c r="K44" s="14" t="n"/>
      <c r="L44" s="14" t="n"/>
      <c r="M44" s="14" t="n"/>
      <c r="N44" s="14" t="n"/>
      <c r="O44" s="14" t="n"/>
      <c r="P44" s="14" t="n"/>
      <c r="Q44" s="14" t="n"/>
      <c r="R44" s="14" t="n"/>
      <c r="S44" s="14" t="n"/>
      <c r="T44" s="14" t="n"/>
      <c r="U44" s="14" t="n"/>
      <c r="V44" s="14" t="n"/>
      <c r="W44" s="14" t="n"/>
      <c r="X44" s="12">
        <f>COUNTA(C44:W44)</f>
        <v/>
      </c>
    </row>
    <row r="45">
      <c r="A45" s="12" t="inlineStr">
        <is>
          <t>LC-TGT-06</t>
        </is>
      </c>
      <c r="B45" s="12" t="inlineStr">
        <is>
          <t>lane change with motorcycle in blind spot</t>
        </is>
      </c>
      <c r="C45" s="14" t="n"/>
      <c r="D45" s="14" t="n"/>
      <c r="E45" s="13" t="inlineStr">
        <is>
          <t>L</t>
        </is>
      </c>
      <c r="F45" s="14" t="n"/>
      <c r="G45" s="14" t="n"/>
      <c r="H45" s="14" t="n"/>
      <c r="I45" s="14" t="n"/>
      <c r="J45" s="14" t="n"/>
      <c r="K45" s="14" t="n"/>
      <c r="L45" s="14" t="n"/>
      <c r="M45" s="14" t="n"/>
      <c r="N45" s="14" t="n"/>
      <c r="O45" s="14" t="n"/>
      <c r="P45" s="14" t="n"/>
      <c r="Q45" s="14" t="n"/>
      <c r="R45" s="14" t="n"/>
      <c r="S45" s="14" t="n"/>
      <c r="T45" s="14" t="n"/>
      <c r="U45" s="14" t="n"/>
      <c r="V45" s="14" t="n"/>
      <c r="W45" s="14" t="n"/>
      <c r="X45" s="12">
        <f>COUNTA(C45:W45)</f>
        <v/>
      </c>
    </row>
    <row r="46">
      <c r="A46" s="12" t="inlineStr">
        <is>
          <t>LC-TGT-07</t>
        </is>
      </c>
      <c r="B46" s="12" t="inlineStr">
        <is>
          <t>lane change next to large or unstable vehicle</t>
        </is>
      </c>
      <c r="C46" s="13" t="inlineStr">
        <is>
          <t>K</t>
        </is>
      </c>
      <c r="D46" s="13" t="inlineStr">
        <is>
          <t>K</t>
        </is>
      </c>
      <c r="E46" s="13" t="inlineStr">
        <is>
          <t>L</t>
        </is>
      </c>
      <c r="F46" s="14" t="n"/>
      <c r="G46" s="14" t="n"/>
      <c r="H46" s="14" t="n"/>
      <c r="I46" s="14" t="n"/>
      <c r="J46" s="14" t="n"/>
      <c r="K46" s="14" t="n"/>
      <c r="L46" s="14" t="n"/>
      <c r="M46" s="14" t="n"/>
      <c r="N46" s="14" t="n"/>
      <c r="O46" s="14" t="n"/>
      <c r="P46" s="14" t="n"/>
      <c r="Q46" s="14" t="n"/>
      <c r="R46" s="14" t="n"/>
      <c r="S46" s="14" t="n"/>
      <c r="T46" s="14" t="n"/>
      <c r="U46" s="14" t="n"/>
      <c r="V46" s="14" t="n"/>
      <c r="W46" s="14" t="n"/>
      <c r="X46" s="12">
        <f>COUNTA(C46:W46)</f>
        <v/>
      </c>
    </row>
    <row r="47">
      <c r="A47" s="9" t="inlineStr">
        <is>
          <t>LC-CUR · Événement dans la voie d'origine pendant le changement de voie</t>
        </is>
      </c>
      <c r="B47" s="10"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0" t="n"/>
    </row>
    <row r="48">
      <c r="A48" s="12" t="inlineStr">
        <is>
          <t>LC-CUR-01</t>
        </is>
      </c>
      <c r="B48" s="12" t="inlineStr">
        <is>
          <t>lane change with origin lead braking</t>
        </is>
      </c>
      <c r="C48" s="14" t="n"/>
      <c r="D48" s="14" t="n"/>
      <c r="E48" s="13" t="inlineStr">
        <is>
          <t>L</t>
        </is>
      </c>
      <c r="F48" s="14" t="n"/>
      <c r="G48" s="14" t="n"/>
      <c r="H48" s="14" t="n"/>
      <c r="I48" s="14" t="n"/>
      <c r="J48" s="14" t="n"/>
      <c r="K48" s="14" t="n"/>
      <c r="L48" s="14" t="n"/>
      <c r="M48" s="13" t="inlineStr">
        <is>
          <t>L</t>
        </is>
      </c>
      <c r="N48" s="14" t="n"/>
      <c r="O48" s="14" t="n"/>
      <c r="P48" s="14" t="n"/>
      <c r="Q48" s="14" t="n"/>
      <c r="R48" s="14" t="n"/>
      <c r="S48" s="14" t="n"/>
      <c r="T48" s="14" t="n"/>
      <c r="U48" s="14" t="n"/>
      <c r="V48" s="14" t="n"/>
      <c r="W48" s="14" t="n"/>
      <c r="X48" s="12">
        <f>COUNTA(C48:W48)</f>
        <v/>
      </c>
    </row>
    <row r="49">
      <c r="A49" s="12" t="inlineStr">
        <is>
          <t>LC-CUR-02</t>
        </is>
      </c>
      <c r="B49" s="12" t="inlineStr">
        <is>
          <t>evasive lane change after lead cut out</t>
        </is>
      </c>
      <c r="C49" s="13" t="inlineStr">
        <is>
          <t>K</t>
        </is>
      </c>
      <c r="D49" s="13" t="inlineStr">
        <is>
          <t>K</t>
        </is>
      </c>
      <c r="E49" s="13" t="inlineStr">
        <is>
          <t>L</t>
        </is>
      </c>
      <c r="F49" s="14" t="n"/>
      <c r="G49" s="14" t="n"/>
      <c r="H49" s="14" t="n"/>
      <c r="I49" s="13" t="inlineStr">
        <is>
          <t>I</t>
        </is>
      </c>
      <c r="J49" s="13" t="inlineStr">
        <is>
          <t>E</t>
        </is>
      </c>
      <c r="K49" s="14" t="n"/>
      <c r="L49" s="14" t="n"/>
      <c r="M49" s="14" t="n"/>
      <c r="N49" s="14" t="n"/>
      <c r="O49" s="14" t="n"/>
      <c r="P49" s="14" t="n"/>
      <c r="Q49" s="14" t="n"/>
      <c r="R49" s="14" t="n"/>
      <c r="S49" s="14" t="n"/>
      <c r="T49" s="14" t="n"/>
      <c r="U49" s="14" t="n"/>
      <c r="V49" s="14" t="n"/>
      <c r="W49" s="14" t="n"/>
      <c r="X49" s="12">
        <f>COUNTA(C49:W49)</f>
        <v/>
      </c>
    </row>
    <row r="50">
      <c r="A50" s="12" t="inlineStr">
        <is>
          <t>LC-CUR-03</t>
        </is>
      </c>
      <c r="B50" s="12" t="inlineStr">
        <is>
          <t>lane change with tailgating follower</t>
        </is>
      </c>
      <c r="C50" s="14" t="n"/>
      <c r="D50" s="14" t="n"/>
      <c r="E50" s="13" t="inlineStr">
        <is>
          <t>L</t>
        </is>
      </c>
      <c r="F50" s="14" t="n"/>
      <c r="G50" s="14" t="n"/>
      <c r="H50" s="14" t="n"/>
      <c r="I50" s="14" t="n"/>
      <c r="J50" s="14" t="n"/>
      <c r="K50" s="14" t="n"/>
      <c r="L50" s="14" t="n"/>
      <c r="M50" s="14" t="n"/>
      <c r="N50" s="14" t="n"/>
      <c r="O50" s="14" t="n"/>
      <c r="P50" s="14" t="n"/>
      <c r="Q50" s="14" t="n"/>
      <c r="R50" s="14" t="n"/>
      <c r="S50" s="14" t="n"/>
      <c r="T50" s="14" t="n"/>
      <c r="U50" s="14" t="n"/>
      <c r="V50" s="14" t="n"/>
      <c r="W50" s="14" t="n"/>
      <c r="X50" s="12">
        <f>COUNTA(C50:W50)</f>
        <v/>
      </c>
    </row>
    <row r="51">
      <c r="A51" s="9" t="inlineStr">
        <is>
          <t>RMP · Bretelles : insertion, sortie, entrecroisement</t>
        </is>
      </c>
      <c r="B51" s="10"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0" t="n"/>
    </row>
    <row r="52">
      <c r="A52" s="12" t="inlineStr">
        <is>
          <t>RMP-01</t>
        </is>
      </c>
      <c r="B52" s="12" t="inlineStr">
        <is>
          <t>Insertion : gap accepté en fin de voie d'accélération</t>
        </is>
      </c>
      <c r="C52" s="14" t="n"/>
      <c r="D52" s="14" t="n"/>
      <c r="E52" s="14" t="n"/>
      <c r="F52" s="13" t="inlineStr">
        <is>
          <t>L</t>
        </is>
      </c>
      <c r="G52" s="14" t="n"/>
      <c r="H52" s="14" t="n"/>
      <c r="I52" s="14" t="n"/>
      <c r="J52" s="14" t="n"/>
      <c r="K52" s="14" t="n"/>
      <c r="L52" s="14" t="n"/>
      <c r="M52" s="14" t="n"/>
      <c r="N52" s="14" t="n"/>
      <c r="O52" s="14" t="n"/>
      <c r="P52" s="14" t="n"/>
      <c r="Q52" s="14" t="n"/>
      <c r="R52" s="14" t="n"/>
      <c r="S52" s="14" t="n"/>
      <c r="T52" s="14" t="n"/>
      <c r="U52" s="14" t="n"/>
      <c r="V52" s="14" t="n"/>
      <c r="W52" s="14" t="n"/>
      <c r="X52" s="12">
        <f>COUNTA(C52:W52)</f>
        <v/>
      </c>
    </row>
    <row r="53">
      <c r="A53" s="12" t="inlineStr">
        <is>
          <t>RMP-02</t>
        </is>
      </c>
      <c r="B53" s="12" t="inlineStr">
        <is>
          <t>Insertion : voie d'accélération courte</t>
        </is>
      </c>
      <c r="C53" s="14" t="n"/>
      <c r="D53" s="14" t="n"/>
      <c r="E53" s="14" t="n"/>
      <c r="F53" s="13" t="inlineStr">
        <is>
          <t>L</t>
        </is>
      </c>
      <c r="G53" s="14" t="n"/>
      <c r="H53" s="14" t="n"/>
      <c r="I53" s="14" t="n"/>
      <c r="J53" s="14" t="n"/>
      <c r="K53" s="14" t="n"/>
      <c r="L53" s="14" t="n"/>
      <c r="M53" s="14" t="n"/>
      <c r="N53" s="14" t="n"/>
      <c r="O53" s="14" t="n"/>
      <c r="P53" s="14" t="n"/>
      <c r="Q53" s="14" t="n"/>
      <c r="R53" s="14" t="n"/>
      <c r="S53" s="14" t="n"/>
      <c r="T53" s="14" t="n"/>
      <c r="U53" s="14" t="n"/>
      <c r="V53" s="14" t="n"/>
      <c r="W53" s="14" t="n"/>
      <c r="X53" s="12">
        <f>COUNTA(C53:W53)</f>
        <v/>
      </c>
    </row>
    <row r="54">
      <c r="A54" s="12" t="inlineStr">
        <is>
          <t>RMP-03</t>
        </is>
      </c>
      <c r="B54" s="12" t="inlineStr">
        <is>
          <t>Insertion : voie principale saturée</t>
        </is>
      </c>
      <c r="C54" s="14" t="n"/>
      <c r="D54" s="14" t="n"/>
      <c r="E54" s="14" t="n"/>
      <c r="F54" s="13" t="inlineStr">
        <is>
          <t>L</t>
        </is>
      </c>
      <c r="G54" s="14" t="n"/>
      <c r="H54" s="14" t="n"/>
      <c r="I54" s="14" t="n"/>
      <c r="J54" s="14" t="n"/>
      <c r="K54" s="14" t="n"/>
      <c r="L54" s="14" t="n"/>
      <c r="M54" s="14" t="n"/>
      <c r="N54" s="14" t="n"/>
      <c r="O54" s="14" t="n"/>
      <c r="P54" s="14" t="n"/>
      <c r="Q54" s="14" t="n"/>
      <c r="R54" s="14" t="n"/>
      <c r="S54" s="14" t="n"/>
      <c r="T54" s="14" t="n"/>
      <c r="U54" s="14" t="n"/>
      <c r="V54" s="14" t="n"/>
      <c r="W54" s="14" t="n"/>
      <c r="X54" s="12">
        <f>COUNTA(C54:W54)</f>
        <v/>
      </c>
    </row>
    <row r="55">
      <c r="A55" s="12" t="inlineStr">
        <is>
          <t>RMP-04</t>
        </is>
      </c>
      <c r="B55" s="12" t="inlineStr">
        <is>
          <t>Insertion : véhicule lent ou arrêté devant sur la bretelle</t>
        </is>
      </c>
      <c r="C55" s="14" t="n"/>
      <c r="D55" s="14" t="n"/>
      <c r="E55" s="14" t="n"/>
      <c r="F55" s="13" t="inlineStr">
        <is>
          <t>L</t>
        </is>
      </c>
      <c r="G55" s="14" t="n"/>
      <c r="H55" s="14" t="n"/>
      <c r="I55" s="14" t="n"/>
      <c r="J55" s="14" t="n"/>
      <c r="K55" s="14" t="n"/>
      <c r="L55" s="14" t="n"/>
      <c r="M55" s="14" t="n"/>
      <c r="N55" s="14" t="n"/>
      <c r="O55" s="14" t="n"/>
      <c r="P55" s="14" t="n"/>
      <c r="Q55" s="14" t="n"/>
      <c r="R55" s="14" t="n"/>
      <c r="S55" s="14" t="n"/>
      <c r="T55" s="14" t="n"/>
      <c r="U55" s="14" t="n"/>
      <c r="V55" s="14" t="n"/>
      <c r="W55" s="14" t="n"/>
      <c r="X55" s="12">
        <f>COUNTA(C55:W55)</f>
        <v/>
      </c>
    </row>
    <row r="56">
      <c r="A56" s="12" t="inlineStr">
        <is>
          <t>RMP-05</t>
        </is>
      </c>
      <c r="B56" s="12" t="inlineStr">
        <is>
          <t>Insertion : un véhicule de la voie principale se décale</t>
        </is>
      </c>
      <c r="C56" s="14" t="n"/>
      <c r="D56" s="14" t="n"/>
      <c r="E56" s="14" t="n"/>
      <c r="F56" s="13" t="inlineStr">
        <is>
          <t>L</t>
        </is>
      </c>
      <c r="G56" s="14" t="n"/>
      <c r="H56" s="14" t="n"/>
      <c r="I56" s="14" t="n"/>
      <c r="J56" s="14" t="n"/>
      <c r="K56" s="14" t="n"/>
      <c r="L56" s="14" t="n"/>
      <c r="M56" s="14" t="n"/>
      <c r="N56" s="14" t="n"/>
      <c r="O56" s="14" t="n"/>
      <c r="P56" s="14" t="n"/>
      <c r="Q56" s="14" t="n"/>
      <c r="R56" s="14" t="n"/>
      <c r="S56" s="14" t="n"/>
      <c r="T56" s="14" t="n"/>
      <c r="U56" s="14" t="n"/>
      <c r="V56" s="14" t="n"/>
      <c r="W56" s="14" t="n"/>
      <c r="X56" s="12">
        <f>COUNTA(C56:W56)</f>
        <v/>
      </c>
    </row>
    <row r="57">
      <c r="A57" s="12" t="inlineStr">
        <is>
          <t>RMP-06</t>
        </is>
      </c>
      <c r="B57" s="12" t="inlineStr">
        <is>
          <t>Sortie : file d'attente sur la bretelle</t>
        </is>
      </c>
      <c r="C57" s="14" t="n"/>
      <c r="D57" s="13" t="inlineStr">
        <is>
          <t>K</t>
        </is>
      </c>
      <c r="E57" s="14" t="n"/>
      <c r="F57" s="14" t="n"/>
      <c r="G57" s="13" t="inlineStr">
        <is>
          <t>K</t>
        </is>
      </c>
      <c r="H57" s="14" t="n"/>
      <c r="I57" s="14" t="n"/>
      <c r="J57" s="14" t="n"/>
      <c r="K57" s="14" t="n"/>
      <c r="L57" s="14" t="n"/>
      <c r="M57" s="14" t="n"/>
      <c r="N57" s="14" t="n"/>
      <c r="O57" s="14" t="n"/>
      <c r="P57" s="14" t="n"/>
      <c r="Q57" s="14" t="n"/>
      <c r="R57" s="14" t="n"/>
      <c r="S57" s="14" t="n"/>
      <c r="T57" s="14" t="n"/>
      <c r="U57" s="14" t="n"/>
      <c r="V57" s="14" t="n"/>
      <c r="W57" s="14" t="n"/>
      <c r="X57" s="12">
        <f>COUNTA(C57:W57)</f>
        <v/>
      </c>
    </row>
    <row r="58">
      <c r="A58" s="12" t="inlineStr">
        <is>
          <t>RMP-07</t>
        </is>
      </c>
      <c r="B58" s="12" t="inlineStr">
        <is>
          <t>Sortie manquée faute de gap</t>
        </is>
      </c>
      <c r="C58" s="14" t="n"/>
      <c r="D58" s="14" t="n"/>
      <c r="E58" s="14" t="n"/>
      <c r="F58" s="14" t="n"/>
      <c r="G58" s="13" t="inlineStr">
        <is>
          <t>L</t>
        </is>
      </c>
      <c r="H58" s="14" t="n"/>
      <c r="I58" s="14" t="n"/>
      <c r="J58" s="14" t="n"/>
      <c r="K58" s="14" t="n"/>
      <c r="L58" s="14" t="n"/>
      <c r="M58" s="14" t="n"/>
      <c r="N58" s="14" t="n"/>
      <c r="O58" s="14" t="n"/>
      <c r="P58" s="14" t="n"/>
      <c r="Q58" s="14" t="n"/>
      <c r="R58" s="14" t="n"/>
      <c r="S58" s="14" t="n"/>
      <c r="T58" s="14" t="n"/>
      <c r="U58" s="14" t="n"/>
      <c r="V58" s="14" t="n"/>
      <c r="W58" s="14" t="n"/>
      <c r="X58" s="12">
        <f>COUNTA(C58:W58)</f>
        <v/>
      </c>
    </row>
    <row r="59">
      <c r="A59" s="12" t="inlineStr">
        <is>
          <t>RMP-08</t>
        </is>
      </c>
      <c r="B59" s="12" t="inlineStr">
        <is>
          <t>Sortie : virage serré de la bretelle</t>
        </is>
      </c>
      <c r="C59" s="14" t="n"/>
      <c r="D59" s="14" t="n"/>
      <c r="E59" s="14" t="n"/>
      <c r="F59" s="14" t="n"/>
      <c r="G59" s="13" t="inlineStr">
        <is>
          <t>K</t>
        </is>
      </c>
      <c r="H59" s="14" t="n"/>
      <c r="I59" s="14" t="n"/>
      <c r="J59" s="14" t="n"/>
      <c r="K59" s="14" t="n"/>
      <c r="L59" s="14" t="n"/>
      <c r="M59" s="14" t="n"/>
      <c r="N59" s="14" t="n"/>
      <c r="O59" s="14" t="n"/>
      <c r="P59" s="14" t="n"/>
      <c r="Q59" s="14" t="n"/>
      <c r="R59" s="14" t="n"/>
      <c r="S59" s="14" t="n"/>
      <c r="T59" s="14" t="n"/>
      <c r="U59" s="14" t="n"/>
      <c r="V59" s="14" t="n"/>
      <c r="W59" s="14" t="n"/>
      <c r="X59" s="12">
        <f>COUNTA(C59:W59)</f>
        <v/>
      </c>
    </row>
    <row r="60">
      <c r="A60" s="12" t="inlineStr">
        <is>
          <t>RMP-09</t>
        </is>
      </c>
      <c r="B60" s="12" t="inlineStr">
        <is>
          <t>Véhicule qui coupe le musoir au dernier moment</t>
        </is>
      </c>
      <c r="C60" s="13" t="inlineStr">
        <is>
          <t>K</t>
        </is>
      </c>
      <c r="D60" s="13" t="inlineStr">
        <is>
          <t>K</t>
        </is>
      </c>
      <c r="E60" s="14" t="n"/>
      <c r="F60" s="14" t="n"/>
      <c r="G60" s="13" t="inlineStr">
        <is>
          <t>K</t>
        </is>
      </c>
      <c r="H60" s="14" t="n"/>
      <c r="I60" s="14" t="n"/>
      <c r="J60" s="14" t="n"/>
      <c r="K60" s="14" t="n"/>
      <c r="L60" s="14" t="n"/>
      <c r="M60" s="14" t="n"/>
      <c r="N60" s="14" t="n"/>
      <c r="O60" s="14" t="n"/>
      <c r="P60" s="14" t="n"/>
      <c r="Q60" s="14" t="n"/>
      <c r="R60" s="14" t="n"/>
      <c r="S60" s="14" t="n"/>
      <c r="T60" s="14" t="n"/>
      <c r="U60" s="14" t="n"/>
      <c r="V60" s="14" t="n"/>
      <c r="W60" s="14" t="n"/>
      <c r="X60" s="12">
        <f>COUNTA(C60:W60)</f>
        <v/>
      </c>
    </row>
    <row r="61">
      <c r="A61" s="12" t="inlineStr">
        <is>
          <t>RMP-10</t>
        </is>
      </c>
      <c r="B61" s="12" t="inlineStr">
        <is>
          <t>Sortie : rampe en marche arrière ou véhicule qui recule</t>
        </is>
      </c>
      <c r="C61" s="14" t="n"/>
      <c r="D61" s="14" t="n"/>
      <c r="E61" s="14" t="n"/>
      <c r="F61" s="14" t="n"/>
      <c r="G61" s="15" t="inlineStr">
        <is>
          <t>2</t>
        </is>
      </c>
      <c r="H61" s="15" t="inlineStr">
        <is>
          <t>2</t>
        </is>
      </c>
      <c r="I61" s="14" t="n"/>
      <c r="J61" s="14" t="n"/>
      <c r="K61" s="14" t="n"/>
      <c r="L61" s="14" t="n"/>
      <c r="M61" s="14" t="n"/>
      <c r="N61" s="14" t="n"/>
      <c r="O61" s="14" t="n"/>
      <c r="P61" s="14" t="n"/>
      <c r="Q61" s="14" t="n"/>
      <c r="R61" s="14" t="n"/>
      <c r="S61" s="14" t="n"/>
      <c r="T61" s="14" t="n"/>
      <c r="U61" s="14" t="n"/>
      <c r="V61" s="14" t="n"/>
      <c r="W61" s="14" t="n"/>
      <c r="X61" s="12">
        <f>COUNTA(C61:W61)</f>
        <v/>
      </c>
    </row>
    <row r="62">
      <c r="A62" s="12" t="inlineStr">
        <is>
          <t>RMP-11</t>
        </is>
      </c>
      <c r="B62" s="12" t="inlineStr">
        <is>
          <t>Le leader quitte l'autoroute par la sortie</t>
        </is>
      </c>
      <c r="C62" s="13" t="inlineStr">
        <is>
          <t>K</t>
        </is>
      </c>
      <c r="D62" s="13" t="inlineStr">
        <is>
          <t>K</t>
        </is>
      </c>
      <c r="E62" s="14" t="n"/>
      <c r="F62" s="14" t="n"/>
      <c r="G62" s="14" t="n"/>
      <c r="H62" s="14" t="n"/>
      <c r="I62" s="14" t="n"/>
      <c r="J62" s="14" t="n"/>
      <c r="K62" s="14" t="n"/>
      <c r="L62" s="14" t="n"/>
      <c r="M62" s="14" t="n"/>
      <c r="N62" s="14" t="n"/>
      <c r="O62" s="14" t="n"/>
      <c r="P62" s="14" t="n"/>
      <c r="Q62" s="14" t="n"/>
      <c r="R62" s="14" t="n"/>
      <c r="S62" s="14" t="n"/>
      <c r="T62" s="14" t="n"/>
      <c r="U62" s="14" t="n"/>
      <c r="V62" s="14" t="n"/>
      <c r="W62" s="14" t="n"/>
      <c r="X62" s="12">
        <f>COUNTA(C62:W62)</f>
        <v/>
      </c>
    </row>
    <row r="63">
      <c r="A63" s="12" t="inlineStr">
        <is>
          <t>RMP-12</t>
        </is>
      </c>
      <c r="B63" s="12" t="inlineStr">
        <is>
          <t>Convoi qui s'insère depuis la bretelle</t>
        </is>
      </c>
      <c r="C63" s="13" t="inlineStr">
        <is>
          <t>K</t>
        </is>
      </c>
      <c r="D63" s="13" t="inlineStr">
        <is>
          <t>K</t>
        </is>
      </c>
      <c r="E63" s="13" t="inlineStr">
        <is>
          <t>L</t>
        </is>
      </c>
      <c r="F63" s="14" t="n"/>
      <c r="G63" s="14" t="n"/>
      <c r="H63" s="14" t="n"/>
      <c r="I63" s="14" t="n"/>
      <c r="J63" s="14" t="n"/>
      <c r="K63" s="14" t="n"/>
      <c r="L63" s="14" t="n"/>
      <c r="M63" s="14" t="n"/>
      <c r="N63" s="14" t="n"/>
      <c r="O63" s="14" t="n"/>
      <c r="P63" s="14" t="n"/>
      <c r="Q63" s="14" t="n"/>
      <c r="R63" s="14" t="n"/>
      <c r="S63" s="14" t="n"/>
      <c r="T63" s="14" t="n"/>
      <c r="U63" s="14" t="n"/>
      <c r="V63" s="14" t="n"/>
      <c r="W63" s="14" t="n"/>
      <c r="X63" s="12">
        <f>COUNTA(C63:W63)</f>
        <v/>
      </c>
    </row>
    <row r="64">
      <c r="A64" s="12" t="inlineStr">
        <is>
          <t>RMP-13</t>
        </is>
      </c>
      <c r="B64" s="12" t="inlineStr">
        <is>
          <t>Insertion du SDT pendant qu'un véhicule sort par la voie d'accélération</t>
        </is>
      </c>
      <c r="C64" s="14" t="n"/>
      <c r="D64" s="14" t="n"/>
      <c r="E64" s="14" t="n"/>
      <c r="F64" s="13" t="inlineStr">
        <is>
          <t>L</t>
        </is>
      </c>
      <c r="G64" s="14" t="n"/>
      <c r="H64" s="14" t="n"/>
      <c r="I64" s="14" t="n"/>
      <c r="J64" s="14" t="n"/>
      <c r="K64" s="14" t="n"/>
      <c r="L64" s="14" t="n"/>
      <c r="M64" s="14" t="n"/>
      <c r="N64" s="14" t="n"/>
      <c r="O64" s="14" t="n"/>
      <c r="P64" s="14" t="n"/>
      <c r="Q64" s="14" t="n"/>
      <c r="R64" s="14" t="n"/>
      <c r="S64" s="14" t="n"/>
      <c r="T64" s="14" t="n"/>
      <c r="U64" s="14" t="n"/>
      <c r="V64" s="14" t="n"/>
      <c r="W64" s="14" t="n"/>
      <c r="X64" s="12">
        <f>COUNTA(C64:W64)</f>
        <v/>
      </c>
    </row>
    <row r="65">
      <c r="A65" s="12" t="inlineStr">
        <is>
          <t>RMP-14</t>
        </is>
      </c>
      <c r="B65" s="12" t="inlineStr">
        <is>
          <t>Insertion : bretelle d'accès en courbe et en pente</t>
        </is>
      </c>
      <c r="C65" s="14" t="n"/>
      <c r="D65" s="14" t="n"/>
      <c r="E65" s="14" t="n"/>
      <c r="F65" s="13" t="inlineStr">
        <is>
          <t>L</t>
        </is>
      </c>
      <c r="G65" s="14" t="n"/>
      <c r="H65" s="14" t="n"/>
      <c r="I65" s="14" t="n"/>
      <c r="J65" s="14" t="n"/>
      <c r="K65" s="14" t="n"/>
      <c r="L65" s="14" t="n"/>
      <c r="M65" s="14" t="n"/>
      <c r="N65" s="14" t="n"/>
      <c r="O65" s="14" t="n"/>
      <c r="P65" s="14" t="n"/>
      <c r="Q65" s="14" t="n"/>
      <c r="R65" s="14" t="n"/>
      <c r="S65" s="14" t="n"/>
      <c r="T65" s="14" t="n"/>
      <c r="U65" s="14" t="n"/>
      <c r="V65" s="14" t="n"/>
      <c r="W65" s="14" t="n"/>
      <c r="X65" s="12">
        <f>COUNTA(C65:W65)</f>
        <v/>
      </c>
    </row>
    <row r="66">
      <c r="A66" s="9" t="inlineStr">
        <is>
          <t>LC-RD · Changement de voie imposé par la route</t>
        </is>
      </c>
      <c r="B66" s="10"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0" t="n"/>
    </row>
    <row r="67">
      <c r="A67" s="12" t="inlineStr">
        <is>
          <t>LC-RD-01</t>
        </is>
      </c>
      <c r="B67" s="12" t="inlineStr">
        <is>
          <t>mandatory lane change lane drop</t>
        </is>
      </c>
      <c r="C67" s="13" t="inlineStr">
        <is>
          <t>L</t>
        </is>
      </c>
      <c r="D67" s="14" t="n"/>
      <c r="E67" s="13" t="inlineStr">
        <is>
          <t>L</t>
        </is>
      </c>
      <c r="F67" s="14" t="n"/>
      <c r="G67" s="14" t="n"/>
      <c r="H67" s="14" t="n"/>
      <c r="I67" s="14" t="n"/>
      <c r="J67" s="14" t="n"/>
      <c r="K67" s="14" t="n"/>
      <c r="L67" s="14" t="n"/>
      <c r="M67" s="14" t="n"/>
      <c r="N67" s="14" t="n"/>
      <c r="O67" s="14" t="n"/>
      <c r="P67" s="14" t="n"/>
      <c r="Q67" s="14" t="n"/>
      <c r="R67" s="14" t="n"/>
      <c r="S67" s="14" t="n"/>
      <c r="T67" s="14" t="n"/>
      <c r="U67" s="14" t="n"/>
      <c r="V67" s="14" t="n"/>
      <c r="W67" s="14" t="n"/>
      <c r="X67" s="12">
        <f>COUNTA(C67:W67)</f>
        <v/>
      </c>
    </row>
    <row r="68">
      <c r="A68" s="12" t="inlineStr">
        <is>
          <t>LC-RD-02</t>
        </is>
      </c>
      <c r="B68" s="12" t="inlineStr">
        <is>
          <t>lane change in work zone lane closure</t>
        </is>
      </c>
      <c r="C68" s="13" t="inlineStr">
        <is>
          <t>K</t>
        </is>
      </c>
      <c r="D68" s="13" t="inlineStr">
        <is>
          <t>K</t>
        </is>
      </c>
      <c r="E68" s="13" t="inlineStr">
        <is>
          <t>L</t>
        </is>
      </c>
      <c r="F68" s="14" t="n"/>
      <c r="G68" s="14" t="n"/>
      <c r="H68" s="14" t="n"/>
      <c r="I68" s="14" t="n"/>
      <c r="J68" s="14" t="n"/>
      <c r="K68" s="14" t="n"/>
      <c r="L68" s="14" t="n"/>
      <c r="M68" s="14" t="n"/>
      <c r="N68" s="14" t="n"/>
      <c r="O68" s="14" t="n"/>
      <c r="P68" s="14" t="n"/>
      <c r="Q68" s="14" t="n"/>
      <c r="R68" s="14" t="n"/>
      <c r="S68" s="14" t="n"/>
      <c r="T68" s="14" t="n"/>
      <c r="U68" s="14" t="n"/>
      <c r="V68" s="14" t="n"/>
      <c r="W68" s="14" t="n"/>
      <c r="X68" s="12">
        <f>COUNTA(C68:W68)</f>
        <v/>
      </c>
    </row>
    <row r="69">
      <c r="A69" s="12" t="inlineStr">
        <is>
          <t>LC-RD-03</t>
        </is>
      </c>
      <c r="B69" s="12" t="inlineStr">
        <is>
          <t>lane change in weave section</t>
        </is>
      </c>
      <c r="C69" s="14" t="n"/>
      <c r="D69" s="14" t="n"/>
      <c r="E69" s="13" t="inlineStr">
        <is>
          <t>L</t>
        </is>
      </c>
      <c r="F69" s="13" t="inlineStr">
        <is>
          <t>L</t>
        </is>
      </c>
      <c r="G69" s="14" t="n"/>
      <c r="H69" s="14" t="n"/>
      <c r="I69" s="14" t="n"/>
      <c r="J69" s="14" t="n"/>
      <c r="K69" s="14" t="n"/>
      <c r="L69" s="14" t="n"/>
      <c r="M69" s="14" t="n"/>
      <c r="N69" s="14" t="n"/>
      <c r="O69" s="14" t="n"/>
      <c r="P69" s="14" t="n"/>
      <c r="Q69" s="14" t="n"/>
      <c r="R69" s="14" t="n"/>
      <c r="S69" s="14" t="n"/>
      <c r="T69" s="14" t="n"/>
      <c r="U69" s="14" t="n"/>
      <c r="V69" s="14" t="n"/>
      <c r="W69" s="14" t="n"/>
      <c r="X69" s="12">
        <f>COUNTA(C69:W69)</f>
        <v/>
      </c>
    </row>
    <row r="70">
      <c r="A70" s="12" t="inlineStr">
        <is>
          <t>LC-RD-04</t>
        </is>
      </c>
      <c r="B70" s="12" t="inlineStr">
        <is>
          <t>mandatory lane change for exit</t>
        </is>
      </c>
      <c r="C70" s="14" t="n"/>
      <c r="D70" s="14" t="n"/>
      <c r="E70" s="13" t="inlineStr">
        <is>
          <t>L</t>
        </is>
      </c>
      <c r="F70" s="14" t="n"/>
      <c r="G70" s="13" t="inlineStr">
        <is>
          <t>L</t>
        </is>
      </c>
      <c r="H70" s="14" t="n"/>
      <c r="I70" s="14" t="n"/>
      <c r="J70" s="14" t="n"/>
      <c r="K70" s="14" t="n"/>
      <c r="L70" s="14" t="n"/>
      <c r="M70" s="14" t="n"/>
      <c r="N70" s="14" t="n"/>
      <c r="O70" s="14" t="n"/>
      <c r="P70" s="14" t="n"/>
      <c r="Q70" s="14" t="n"/>
      <c r="R70" s="14" t="n"/>
      <c r="S70" s="14" t="n"/>
      <c r="T70" s="14" t="n"/>
      <c r="U70" s="14" t="n"/>
      <c r="V70" s="14" t="n"/>
      <c r="W70" s="14" t="n"/>
      <c r="X70" s="12">
        <f>COUNTA(C70:W70)</f>
        <v/>
      </c>
    </row>
    <row r="71">
      <c r="A71" s="12" t="inlineStr">
        <is>
          <t>LC-RD-05</t>
        </is>
      </c>
      <c r="B71" s="12" t="inlineStr">
        <is>
          <t>lane change to yield to merging traffic</t>
        </is>
      </c>
      <c r="C71" s="13" t="inlineStr">
        <is>
          <t>K</t>
        </is>
      </c>
      <c r="D71" s="13" t="inlineStr">
        <is>
          <t>K</t>
        </is>
      </c>
      <c r="E71" s="13" t="inlineStr">
        <is>
          <t>L</t>
        </is>
      </c>
      <c r="F71" s="14" t="n"/>
      <c r="G71" s="14" t="n"/>
      <c r="H71" s="14" t="n"/>
      <c r="I71" s="14" t="n"/>
      <c r="J71" s="14" t="n"/>
      <c r="K71" s="14" t="n"/>
      <c r="L71" s="14" t="n"/>
      <c r="M71" s="14" t="n"/>
      <c r="N71" s="14" t="n"/>
      <c r="O71" s="14" t="n"/>
      <c r="P71" s="14" t="n"/>
      <c r="Q71" s="14" t="n"/>
      <c r="R71" s="14" t="n"/>
      <c r="S71" s="14" t="n"/>
      <c r="T71" s="14" t="n"/>
      <c r="U71" s="14" t="n"/>
      <c r="V71" s="14" t="n"/>
      <c r="W71" s="14" t="n"/>
      <c r="X71" s="12">
        <f>COUNTA(C71:W71)</f>
        <v/>
      </c>
    </row>
    <row r="72">
      <c r="A72" s="12" t="inlineStr">
        <is>
          <t>LC-RD-06</t>
        </is>
      </c>
      <c r="B72" s="12" t="inlineStr">
        <is>
          <t>lane change with degraded lane markings</t>
        </is>
      </c>
      <c r="C72" s="13" t="inlineStr">
        <is>
          <t>K</t>
        </is>
      </c>
      <c r="D72" s="13" t="inlineStr">
        <is>
          <t>K</t>
        </is>
      </c>
      <c r="E72" s="13" t="inlineStr">
        <is>
          <t>L</t>
        </is>
      </c>
      <c r="F72" s="14" t="n"/>
      <c r="G72" s="14" t="n"/>
      <c r="H72" s="14" t="n"/>
      <c r="I72" s="14" t="n"/>
      <c r="J72" s="14" t="n"/>
      <c r="K72" s="14" t="n"/>
      <c r="L72" s="14" t="n"/>
      <c r="M72" s="14" t="n"/>
      <c r="N72" s="14" t="n"/>
      <c r="O72" s="14" t="n"/>
      <c r="P72" s="14" t="n"/>
      <c r="Q72" s="14" t="n"/>
      <c r="R72" s="14" t="n"/>
      <c r="S72" s="14" t="n"/>
      <c r="T72" s="14" t="n"/>
      <c r="U72" s="14" t="n"/>
      <c r="V72" s="14" t="n"/>
      <c r="W72" s="14" t="n"/>
      <c r="X72" s="12">
        <f>COUNTA(C72:W72)</f>
        <v/>
      </c>
    </row>
    <row r="73">
      <c r="A73" s="12" t="inlineStr">
        <is>
          <t>LC-RD-07</t>
        </is>
      </c>
      <c r="B73" s="12" t="inlineStr">
        <is>
          <t>lane change on curve or grade</t>
        </is>
      </c>
      <c r="C73" s="13" t="inlineStr">
        <is>
          <t>K</t>
        </is>
      </c>
      <c r="D73" s="13" t="inlineStr">
        <is>
          <t>K</t>
        </is>
      </c>
      <c r="E73" s="13" t="inlineStr">
        <is>
          <t>L</t>
        </is>
      </c>
      <c r="F73" s="14" t="n"/>
      <c r="G73" s="14" t="n"/>
      <c r="H73" s="14" t="n"/>
      <c r="I73" s="14" t="n"/>
      <c r="J73" s="14" t="n"/>
      <c r="K73" s="14" t="n"/>
      <c r="L73" s="14" t="n"/>
      <c r="M73" s="14" t="n"/>
      <c r="N73" s="14" t="n"/>
      <c r="O73" s="14" t="n"/>
      <c r="P73" s="14" t="n"/>
      <c r="Q73" s="14" t="n"/>
      <c r="R73" s="14" t="n"/>
      <c r="S73" s="14" t="n"/>
      <c r="T73" s="14" t="n"/>
      <c r="U73" s="14" t="n"/>
      <c r="V73" s="14" t="n"/>
      <c r="W73" s="14" t="n"/>
      <c r="X73" s="12">
        <f>COUNTA(C73:W73)</f>
        <v/>
      </c>
    </row>
    <row r="74">
      <c r="A74" s="12" t="inlineStr">
        <is>
          <t>LC-RD-08</t>
        </is>
      </c>
      <c r="B74" s="12" t="inlineStr">
        <is>
          <t>lane change with map lane mismatch</t>
        </is>
      </c>
      <c r="C74" s="13" t="inlineStr">
        <is>
          <t>K</t>
        </is>
      </c>
      <c r="D74" s="14" t="n"/>
      <c r="E74" s="13" t="inlineStr">
        <is>
          <t>L</t>
        </is>
      </c>
      <c r="F74" s="14" t="n"/>
      <c r="G74" s="14" t="n"/>
      <c r="H74" s="14" t="n"/>
      <c r="I74" s="14" t="n"/>
      <c r="J74" s="14" t="n"/>
      <c r="K74" s="14" t="n"/>
      <c r="L74" s="14" t="n"/>
      <c r="M74" s="14" t="n"/>
      <c r="N74" s="14" t="n"/>
      <c r="O74" s="14" t="n"/>
      <c r="P74" s="14" t="n"/>
      <c r="Q74" s="14" t="n"/>
      <c r="R74" s="14" t="n"/>
      <c r="S74" s="14" t="n"/>
      <c r="T74" s="14" t="n"/>
      <c r="U74" s="14" t="n"/>
      <c r="V74" s="14" t="n"/>
      <c r="W74" s="14" t="n"/>
      <c r="X74" s="12">
        <f>COUNTA(C74:W74)</f>
        <v/>
      </c>
    </row>
    <row r="75">
      <c r="A75" s="9" t="inlineStr">
        <is>
          <t>RD · Route et infrastructure</t>
        </is>
      </c>
      <c r="B75" s="10"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0" t="n"/>
    </row>
    <row r="76">
      <c r="A76" s="12" t="inlineStr">
        <is>
          <t>RD-09</t>
        </is>
      </c>
      <c r="B76" s="12" t="inlineStr">
        <is>
          <t>Voie plus étroite que 3,5 m</t>
        </is>
      </c>
      <c r="C76" s="13" t="inlineStr">
        <is>
          <t>K</t>
        </is>
      </c>
      <c r="D76" s="13" t="inlineStr">
        <is>
          <t>K</t>
        </is>
      </c>
      <c r="E76" s="14" t="n"/>
      <c r="F76" s="14" t="n"/>
      <c r="G76" s="14" t="n"/>
      <c r="H76" s="14" t="n"/>
      <c r="I76" s="14" t="n"/>
      <c r="J76" s="14" t="n"/>
      <c r="K76" s="14" t="n"/>
      <c r="L76" s="14" t="n"/>
      <c r="M76" s="14" t="n"/>
      <c r="N76" s="14" t="n"/>
      <c r="O76" s="14" t="n"/>
      <c r="P76" s="14" t="n"/>
      <c r="Q76" s="14" t="n"/>
      <c r="R76" s="14" t="n"/>
      <c r="S76" s="14" t="n"/>
      <c r="T76" s="14" t="n"/>
      <c r="U76" s="14" t="n"/>
      <c r="V76" s="14" t="n"/>
      <c r="W76" s="14" t="n"/>
      <c r="X76" s="12">
        <f>COUNTA(C76:W76)</f>
        <v/>
      </c>
    </row>
    <row r="77">
      <c r="A77" s="12" t="inlineStr">
        <is>
          <t>RD-10</t>
        </is>
      </c>
      <c r="B77" s="12" t="inlineStr">
        <is>
          <t>Changement de limite de vitesse</t>
        </is>
      </c>
      <c r="C77" s="13" t="inlineStr">
        <is>
          <t>K</t>
        </is>
      </c>
      <c r="D77" s="13" t="inlineStr">
        <is>
          <t>K</t>
        </is>
      </c>
      <c r="E77" s="14" t="n"/>
      <c r="F77" s="14" t="n"/>
      <c r="G77" s="14" t="n"/>
      <c r="H77" s="14" t="n"/>
      <c r="I77" s="14" t="n"/>
      <c r="J77" s="14" t="n"/>
      <c r="K77" s="14" t="n"/>
      <c r="L77" s="14" t="n"/>
      <c r="M77" s="14" t="n"/>
      <c r="N77" s="14" t="n"/>
      <c r="O77" s="14" t="n"/>
      <c r="P77" s="14" t="n"/>
      <c r="Q77" s="14" t="n"/>
      <c r="R77" s="14" t="n"/>
      <c r="S77" s="14" t="n"/>
      <c r="T77" s="14" t="n"/>
      <c r="U77" s="14" t="n"/>
      <c r="V77" s="14" t="n"/>
      <c r="W77" s="14" t="n"/>
      <c r="X77" s="12">
        <f>COUNTA(C77:W77)</f>
        <v/>
      </c>
    </row>
    <row r="78">
      <c r="A78" s="12" t="inlineStr">
        <is>
          <t>RD-11</t>
        </is>
      </c>
      <c r="B78" s="12" t="inlineStr">
        <is>
          <t>Pas d'accotement (pont, viaduc)</t>
        </is>
      </c>
      <c r="C78" s="14" t="n"/>
      <c r="D78" s="14" t="n"/>
      <c r="E78" s="14" t="n"/>
      <c r="F78" s="14" t="n"/>
      <c r="G78" s="14" t="n"/>
      <c r="H78" s="13" t="inlineStr">
        <is>
          <t>S</t>
        </is>
      </c>
      <c r="I78" s="13" t="inlineStr">
        <is>
          <t>I</t>
        </is>
      </c>
      <c r="J78" s="14" t="n"/>
      <c r="K78" s="14" t="n"/>
      <c r="L78" s="14" t="n"/>
      <c r="M78" s="14" t="n"/>
      <c r="N78" s="14" t="n"/>
      <c r="O78" s="14" t="n"/>
      <c r="P78" s="14" t="n"/>
      <c r="Q78" s="14" t="n"/>
      <c r="R78" s="14" t="n"/>
      <c r="S78" s="14" t="n"/>
      <c r="T78" s="14" t="n"/>
      <c r="U78" s="14" t="n"/>
      <c r="V78" s="14" t="n"/>
      <c r="W78" s="14" t="n"/>
      <c r="X78" s="12">
        <f>COUNTA(C78:W78)</f>
        <v/>
      </c>
    </row>
    <row r="79">
      <c r="A79" s="12" t="inlineStr">
        <is>
          <t>RD-12</t>
        </is>
      </c>
      <c r="B79" s="12" t="inlineStr">
        <is>
          <t>Rafale de vent latéral</t>
        </is>
      </c>
      <c r="C79" s="13" t="inlineStr">
        <is>
          <t>K</t>
        </is>
      </c>
      <c r="D79" s="13" t="inlineStr">
        <is>
          <t>K</t>
        </is>
      </c>
      <c r="E79" s="13" t="inlineStr">
        <is>
          <t>L</t>
        </is>
      </c>
      <c r="F79" s="14" t="n"/>
      <c r="G79" s="14" t="n"/>
      <c r="H79" s="14" t="n"/>
      <c r="I79" s="14" t="n"/>
      <c r="J79" s="14" t="n"/>
      <c r="K79" s="14" t="n"/>
      <c r="L79" s="14" t="n"/>
      <c r="M79" s="14" t="n"/>
      <c r="N79" s="14" t="n"/>
      <c r="O79" s="14" t="n"/>
      <c r="P79" s="14" t="n"/>
      <c r="Q79" s="14" t="n"/>
      <c r="R79" s="14" t="n"/>
      <c r="S79" s="14" t="n"/>
      <c r="T79" s="14" t="n"/>
      <c r="U79" s="14" t="n"/>
      <c r="V79" s="14" t="n"/>
      <c r="W79" s="14" t="n"/>
      <c r="X79" s="12">
        <f>COUNTA(C79:W79)</f>
        <v/>
      </c>
    </row>
    <row r="80">
      <c r="A80" s="12" t="inlineStr">
        <is>
          <t>RD-13</t>
        </is>
      </c>
      <c r="B80" s="12" t="inlineStr">
        <is>
          <t>Forte descente avec charge lourde</t>
        </is>
      </c>
      <c r="C80" s="13" t="inlineStr">
        <is>
          <t>K</t>
        </is>
      </c>
      <c r="D80" s="13" t="inlineStr">
        <is>
          <t>K</t>
        </is>
      </c>
      <c r="E80" s="14" t="n"/>
      <c r="F80" s="14" t="n"/>
      <c r="G80" s="14" t="n"/>
      <c r="H80" s="13" t="inlineStr">
        <is>
          <t>S</t>
        </is>
      </c>
      <c r="I80" s="13" t="inlineStr">
        <is>
          <t>I</t>
        </is>
      </c>
      <c r="J80" s="14" t="n"/>
      <c r="K80" s="14" t="n"/>
      <c r="L80" s="14" t="n"/>
      <c r="M80" s="14" t="n"/>
      <c r="N80" s="14" t="n"/>
      <c r="O80" s="14" t="n"/>
      <c r="P80" s="14" t="n"/>
      <c r="Q80" s="14" t="n"/>
      <c r="R80" s="14" t="n"/>
      <c r="S80" s="14" t="n"/>
      <c r="T80" s="14" t="n"/>
      <c r="U80" s="14" t="n"/>
      <c r="V80" s="14" t="n"/>
      <c r="W80" s="14" t="n"/>
      <c r="X80" s="12">
        <f>COUNTA(C80:W80)</f>
        <v/>
      </c>
    </row>
    <row r="81">
      <c r="A81" s="12" t="inlineStr">
        <is>
          <t>RD-14</t>
        </is>
      </c>
      <c r="B81" s="12" t="inlineStr">
        <is>
          <t>Courbe avec véhicule dans la voie voisine</t>
        </is>
      </c>
      <c r="C81" s="13" t="inlineStr">
        <is>
          <t>K</t>
        </is>
      </c>
      <c r="D81" s="13" t="inlineStr">
        <is>
          <t>K</t>
        </is>
      </c>
      <c r="E81" s="13" t="inlineStr">
        <is>
          <t>L</t>
        </is>
      </c>
      <c r="F81" s="14" t="n"/>
      <c r="G81" s="14" t="n"/>
      <c r="H81" s="14" t="n"/>
      <c r="I81" s="14" t="n"/>
      <c r="J81" s="14" t="n"/>
      <c r="K81" s="14" t="n"/>
      <c r="L81" s="14" t="n"/>
      <c r="M81" s="14" t="n"/>
      <c r="N81" s="14" t="n"/>
      <c r="O81" s="14" t="n"/>
      <c r="P81" s="14" t="n"/>
      <c r="Q81" s="14" t="n"/>
      <c r="R81" s="14" t="n"/>
      <c r="S81" s="14" t="n"/>
      <c r="T81" s="14" t="n"/>
      <c r="U81" s="14" t="n"/>
      <c r="V81" s="14" t="n"/>
      <c r="W81" s="14" t="n"/>
      <c r="X81" s="12">
        <f>COUNTA(C81:W81)</f>
        <v/>
      </c>
    </row>
    <row r="82">
      <c r="A82" s="9" t="inlineStr">
        <is>
          <t>EMV · Véhicules d'urgence</t>
        </is>
      </c>
      <c r="B82" s="10"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0" t="n"/>
    </row>
    <row r="83">
      <c r="A83" s="12" t="inlineStr">
        <is>
          <t>EMV-03</t>
        </is>
      </c>
      <c r="B83" s="12" t="inlineStr">
        <is>
          <t>Véhicule d'urgence dans la congestion</t>
        </is>
      </c>
      <c r="C83" s="14" t="n"/>
      <c r="D83" s="13" t="inlineStr">
        <is>
          <t>K</t>
        </is>
      </c>
      <c r="E83" s="14" t="n"/>
      <c r="F83" s="14" t="n"/>
      <c r="G83" s="14" t="n"/>
      <c r="H83" s="13" t="inlineStr">
        <is>
          <t>S</t>
        </is>
      </c>
      <c r="I83" s="14" t="n"/>
      <c r="J83" s="14" t="n"/>
      <c r="K83" s="14" t="n"/>
      <c r="L83" s="14" t="n"/>
      <c r="M83" s="14" t="n"/>
      <c r="N83" s="14" t="n"/>
      <c r="O83" s="14" t="n"/>
      <c r="P83" s="14" t="n"/>
      <c r="Q83" s="14" t="n"/>
      <c r="R83" s="14" t="n"/>
      <c r="S83" s="14" t="n"/>
      <c r="T83" s="14" t="n"/>
      <c r="U83" s="14" t="n"/>
      <c r="V83" s="14" t="n"/>
      <c r="W83" s="14" t="n"/>
      <c r="X83" s="12">
        <f>COUNTA(C83:W83)</f>
        <v/>
      </c>
    </row>
    <row r="84">
      <c r="A84" s="12" t="inlineStr">
        <is>
          <t>EMV-04</t>
        </is>
      </c>
      <c r="B84" s="12" t="inlineStr">
        <is>
          <t>Policier qui suit le SDT plus de 20 s</t>
        </is>
      </c>
      <c r="C84" s="14" t="n"/>
      <c r="D84" s="14" t="n"/>
      <c r="E84" s="14" t="n"/>
      <c r="F84" s="14" t="n"/>
      <c r="G84" s="14" t="n"/>
      <c r="H84" s="13" t="inlineStr">
        <is>
          <t>S</t>
        </is>
      </c>
      <c r="I84" s="14" t="n"/>
      <c r="J84" s="14" t="n"/>
      <c r="K84" s="14" t="n"/>
      <c r="L84" s="14" t="n"/>
      <c r="M84" s="14" t="n"/>
      <c r="N84" s="14" t="n"/>
      <c r="O84" s="14" t="n"/>
      <c r="P84" s="14" t="n"/>
      <c r="Q84" s="14" t="n"/>
      <c r="R84" s="14" t="n"/>
      <c r="S84" s="14" t="n"/>
      <c r="T84" s="14" t="n"/>
      <c r="U84" s="14" t="n"/>
      <c r="V84" s="14" t="n"/>
      <c r="W84" s="14" t="n"/>
      <c r="X84" s="12">
        <f>COUNTA(C84:W84)</f>
        <v/>
      </c>
    </row>
    <row r="85">
      <c r="A85" s="12" t="inlineStr">
        <is>
          <t>EMV-05</t>
        </is>
      </c>
      <c r="B85" s="12" t="inlineStr">
        <is>
          <t>Véhicule d'urgence arrêté dans la voie</t>
        </is>
      </c>
      <c r="C85" s="14" t="n"/>
      <c r="D85" s="13" t="inlineStr">
        <is>
          <t>K</t>
        </is>
      </c>
      <c r="E85" s="13" t="inlineStr">
        <is>
          <t>L</t>
        </is>
      </c>
      <c r="F85" s="14" t="n"/>
      <c r="G85" s="14" t="n"/>
      <c r="H85" s="14" t="n"/>
      <c r="I85" s="13" t="inlineStr">
        <is>
          <t>I</t>
        </is>
      </c>
      <c r="J85" s="14" t="n"/>
      <c r="K85" s="14" t="n"/>
      <c r="L85" s="14" t="n"/>
      <c r="M85" s="14" t="n"/>
      <c r="N85" s="14" t="n"/>
      <c r="O85" s="14" t="n"/>
      <c r="P85" s="14" t="n"/>
      <c r="Q85" s="14" t="n"/>
      <c r="R85" s="14" t="n"/>
      <c r="S85" s="14" t="n"/>
      <c r="T85" s="14" t="n"/>
      <c r="U85" s="14" t="n"/>
      <c r="V85" s="14" t="n"/>
      <c r="W85" s="14" t="n"/>
      <c r="X85" s="12">
        <f>COUNTA(C85:W85)</f>
        <v/>
      </c>
    </row>
    <row r="86">
      <c r="A86" s="12" t="inlineStr">
        <is>
          <t>EMV-06</t>
        </is>
      </c>
      <c r="B86" s="12" t="inlineStr">
        <is>
          <t>Poursuite policière qui dépasse le SDT</t>
        </is>
      </c>
      <c r="C86" s="13" t="inlineStr">
        <is>
          <t>K</t>
        </is>
      </c>
      <c r="D86" s="13" t="inlineStr">
        <is>
          <t>K</t>
        </is>
      </c>
      <c r="E86" s="14" t="n"/>
      <c r="F86" s="14" t="n"/>
      <c r="G86" s="14" t="n"/>
      <c r="H86" s="14" t="n"/>
      <c r="I86" s="14" t="n"/>
      <c r="J86" s="14" t="n"/>
      <c r="K86" s="14" t="n"/>
      <c r="L86" s="14" t="n"/>
      <c r="M86" s="14" t="n"/>
      <c r="N86" s="14" t="n"/>
      <c r="O86" s="14" t="n"/>
      <c r="P86" s="14" t="n"/>
      <c r="Q86" s="14" t="n"/>
      <c r="R86" s="14" t="n"/>
      <c r="S86" s="14" t="n"/>
      <c r="T86" s="14" t="n"/>
      <c r="U86" s="14" t="n"/>
      <c r="V86" s="14" t="n"/>
      <c r="W86" s="14" t="n"/>
      <c r="X86" s="12">
        <f>COUNTA(C86:W86)</f>
        <v/>
      </c>
    </row>
    <row r="87">
      <c r="A87" s="9" t="inlineStr">
        <is>
          <t>LC-OOD · Événements hors ODD demandant un changement de voie</t>
        </is>
      </c>
      <c r="B87" s="10"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0" t="n"/>
    </row>
    <row r="88">
      <c r="A88" s="12" t="inlineStr">
        <is>
          <t>LC-OOD-01</t>
        </is>
      </c>
      <c r="B88" s="12" t="inlineStr">
        <is>
          <t>move over for stopped emv on shoulder</t>
        </is>
      </c>
      <c r="C88" s="13" t="inlineStr">
        <is>
          <t>M</t>
        </is>
      </c>
      <c r="D88" s="13" t="inlineStr">
        <is>
          <t>M</t>
        </is>
      </c>
      <c r="E88" s="13" t="inlineStr">
        <is>
          <t>L</t>
        </is>
      </c>
      <c r="F88" s="14" t="n"/>
      <c r="G88" s="14" t="n"/>
      <c r="H88" s="14" t="n"/>
      <c r="I88" s="14" t="n"/>
      <c r="J88" s="14" t="n"/>
      <c r="K88" s="14" t="n"/>
      <c r="L88" s="14" t="n"/>
      <c r="M88" s="14" t="n"/>
      <c r="N88" s="14" t="n"/>
      <c r="O88" s="14" t="n"/>
      <c r="P88" s="14" t="n"/>
      <c r="Q88" s="14" t="n"/>
      <c r="R88" s="14" t="n"/>
      <c r="S88" s="14" t="n"/>
      <c r="T88" s="14" t="n"/>
      <c r="U88" s="14" t="n"/>
      <c r="V88" s="14" t="n"/>
      <c r="W88" s="14" t="n"/>
      <c r="X88" s="12">
        <f>COUNTA(C88:W88)</f>
        <v/>
      </c>
    </row>
    <row r="89">
      <c r="A89" s="12" t="inlineStr">
        <is>
          <t>LC-OOD-02</t>
        </is>
      </c>
      <c r="B89" s="12" t="inlineStr">
        <is>
          <t>yield lane to approaching emv</t>
        </is>
      </c>
      <c r="C89" s="13" t="inlineStr">
        <is>
          <t>L</t>
        </is>
      </c>
      <c r="D89" s="13" t="inlineStr">
        <is>
          <t>L</t>
        </is>
      </c>
      <c r="E89" s="13" t="inlineStr">
        <is>
          <t>L</t>
        </is>
      </c>
      <c r="F89" s="14" t="n"/>
      <c r="G89" s="14" t="n"/>
      <c r="H89" s="13" t="inlineStr">
        <is>
          <t>S</t>
        </is>
      </c>
      <c r="I89" s="14" t="n"/>
      <c r="J89" s="14" t="n"/>
      <c r="K89" s="14" t="n"/>
      <c r="L89" s="14" t="n"/>
      <c r="M89" s="14" t="n"/>
      <c r="N89" s="14" t="n"/>
      <c r="O89" s="14" t="n"/>
      <c r="P89" s="14" t="n"/>
      <c r="Q89" s="14" t="n"/>
      <c r="R89" s="14" t="n"/>
      <c r="S89" s="14" t="n"/>
      <c r="T89" s="14" t="n"/>
      <c r="U89" s="14" t="n"/>
      <c r="V89" s="14" t="n"/>
      <c r="W89" s="14" t="n"/>
      <c r="X89" s="12">
        <f>COUNTA(C89:W89)</f>
        <v/>
      </c>
    </row>
    <row r="90">
      <c r="A90" s="12" t="inlineStr">
        <is>
          <t>LC-OOD-03</t>
        </is>
      </c>
      <c r="B90" s="12" t="inlineStr">
        <is>
          <t>lane change with object in target lane</t>
        </is>
      </c>
      <c r="C90" s="14" t="n"/>
      <c r="D90" s="14" t="n"/>
      <c r="E90" s="13" t="inlineStr">
        <is>
          <t>L</t>
        </is>
      </c>
      <c r="F90" s="14" t="n"/>
      <c r="G90" s="14" t="n"/>
      <c r="H90" s="14" t="n"/>
      <c r="I90" s="14" t="n"/>
      <c r="J90" s="14" t="n"/>
      <c r="K90" s="14" t="n"/>
      <c r="L90" s="14" t="n"/>
      <c r="M90" s="14" t="n"/>
      <c r="N90" s="14" t="n"/>
      <c r="O90" s="14" t="n"/>
      <c r="P90" s="14" t="n"/>
      <c r="Q90" s="14" t="n"/>
      <c r="R90" s="14" t="n"/>
      <c r="S90" s="14" t="n"/>
      <c r="T90" s="14" t="n"/>
      <c r="U90" s="14" t="n"/>
      <c r="V90" s="14" t="n"/>
      <c r="W90" s="14" t="n"/>
      <c r="X90" s="12">
        <f>COUNTA(C90:W90)</f>
        <v/>
      </c>
    </row>
    <row r="91">
      <c r="A91" s="12" t="inlineStr">
        <is>
          <t>LC-OOD-04</t>
        </is>
      </c>
      <c r="B91" s="12" t="inlineStr">
        <is>
          <t>lane change at crash scene</t>
        </is>
      </c>
      <c r="C91" s="13" t="inlineStr">
        <is>
          <t>K</t>
        </is>
      </c>
      <c r="D91" s="13" t="inlineStr">
        <is>
          <t>K</t>
        </is>
      </c>
      <c r="E91" s="13" t="inlineStr">
        <is>
          <t>L</t>
        </is>
      </c>
      <c r="F91" s="14" t="n"/>
      <c r="G91" s="14" t="n"/>
      <c r="H91" s="13" t="inlineStr">
        <is>
          <t>S</t>
        </is>
      </c>
      <c r="I91" s="13" t="inlineStr">
        <is>
          <t>I</t>
        </is>
      </c>
      <c r="J91" s="14" t="n"/>
      <c r="K91" s="14" t="n"/>
      <c r="L91" s="14" t="n"/>
      <c r="M91" s="14" t="n"/>
      <c r="N91" s="14" t="n"/>
      <c r="O91" s="14" t="n"/>
      <c r="P91" s="14" t="n"/>
      <c r="Q91" s="14" t="n"/>
      <c r="R91" s="14" t="n"/>
      <c r="S91" s="14" t="n"/>
      <c r="T91" s="14" t="n"/>
      <c r="U91" s="14" t="n"/>
      <c r="V91" s="14" t="n"/>
      <c r="W91" s="14" t="n"/>
      <c r="X91" s="12">
        <f>COUNTA(C91:W91)</f>
        <v/>
      </c>
    </row>
    <row r="92">
      <c r="A92" s="12" t="inlineStr">
        <is>
          <t>LC-REF-01</t>
        </is>
      </c>
      <c r="B92" s="12" t="inlineStr">
        <is>
          <t>lane change for stopped vehicle on shoulder</t>
        </is>
      </c>
      <c r="C92" s="13" t="inlineStr">
        <is>
          <t>M</t>
        </is>
      </c>
      <c r="D92" s="13" t="inlineStr">
        <is>
          <t>M</t>
        </is>
      </c>
      <c r="E92" s="13" t="inlineStr">
        <is>
          <t>L</t>
        </is>
      </c>
      <c r="F92" s="14" t="n"/>
      <c r="G92" s="14" t="n"/>
      <c r="H92" s="14" t="n"/>
      <c r="I92" s="14" t="n"/>
      <c r="J92" s="14" t="n"/>
      <c r="K92" s="14" t="n"/>
      <c r="L92" s="14" t="n"/>
      <c r="M92" s="14" t="n"/>
      <c r="N92" s="14" t="n"/>
      <c r="O92" s="14" t="n"/>
      <c r="P92" s="14" t="n"/>
      <c r="Q92" s="14" t="n"/>
      <c r="R92" s="14" t="n"/>
      <c r="S92" s="14" t="n"/>
      <c r="T92" s="14" t="n"/>
      <c r="U92" s="14" t="n"/>
      <c r="V92" s="14" t="n"/>
      <c r="W92" s="14" t="n"/>
      <c r="X92" s="12">
        <f>COUNTA(C92:W92)</f>
        <v/>
      </c>
    </row>
    <row r="93">
      <c r="A93" s="9" t="inlineStr">
        <is>
          <t>OBJ · Objets et usagers inattendus sur la chaussée</t>
        </is>
      </c>
      <c r="B93" s="10"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0" t="n"/>
    </row>
    <row r="94">
      <c r="A94" s="12" t="inlineStr">
        <is>
          <t>OBJ-01</t>
        </is>
      </c>
      <c r="B94" s="12" t="inlineStr">
        <is>
          <t>Petit débris franchissable dans la voie</t>
        </is>
      </c>
      <c r="C94" s="13" t="inlineStr">
        <is>
          <t>K</t>
        </is>
      </c>
      <c r="D94" s="13" t="inlineStr">
        <is>
          <t>K</t>
        </is>
      </c>
      <c r="E94" s="14" t="n"/>
      <c r="F94" s="14" t="n"/>
      <c r="G94" s="14" t="n"/>
      <c r="H94" s="14" t="n"/>
      <c r="I94" s="14" t="n"/>
      <c r="J94" s="14" t="n"/>
      <c r="K94" s="14" t="n"/>
      <c r="L94" s="14" t="n"/>
      <c r="M94" s="14" t="n"/>
      <c r="N94" s="14" t="n"/>
      <c r="O94" s="14" t="n"/>
      <c r="P94" s="14" t="n"/>
      <c r="Q94" s="14" t="n"/>
      <c r="R94" s="14" t="n"/>
      <c r="S94" s="14" t="n"/>
      <c r="T94" s="14" t="n"/>
      <c r="U94" s="14" t="n"/>
      <c r="V94" s="14" t="n"/>
      <c r="W94" s="14" t="n"/>
      <c r="X94" s="12">
        <f>COUNTA(C94:W94)</f>
        <v/>
      </c>
    </row>
    <row r="95">
      <c r="A95" s="12" t="inlineStr">
        <is>
          <t>OBJ-02</t>
        </is>
      </c>
      <c r="B95" s="12" t="inlineStr">
        <is>
          <t>Chargement perdu ou gros débris dans la voie</t>
        </is>
      </c>
      <c r="C95" s="14" t="n"/>
      <c r="D95" s="13" t="inlineStr">
        <is>
          <t>K</t>
        </is>
      </c>
      <c r="E95" s="13" t="inlineStr">
        <is>
          <t>L</t>
        </is>
      </c>
      <c r="F95" s="14" t="n"/>
      <c r="G95" s="14" t="n"/>
      <c r="H95" s="13" t="inlineStr">
        <is>
          <t>S</t>
        </is>
      </c>
      <c r="I95" s="13" t="inlineStr">
        <is>
          <t>I</t>
        </is>
      </c>
      <c r="J95" s="13" t="inlineStr">
        <is>
          <t>E</t>
        </is>
      </c>
      <c r="K95" s="14" t="n"/>
      <c r="L95" s="14" t="n"/>
      <c r="M95" s="14" t="n"/>
      <c r="N95" s="14" t="n"/>
      <c r="O95" s="14" t="n"/>
      <c r="P95" s="14" t="n"/>
      <c r="Q95" s="14" t="n"/>
      <c r="R95" s="14" t="n"/>
      <c r="S95" s="14" t="n"/>
      <c r="T95" s="14" t="n"/>
      <c r="U95" s="14" t="n"/>
      <c r="V95" s="14" t="n"/>
      <c r="W95" s="14" t="n"/>
      <c r="X95" s="12">
        <f>COUNTA(C95:W95)</f>
        <v/>
      </c>
    </row>
    <row r="96">
      <c r="A96" s="12" t="inlineStr">
        <is>
          <t>OBJ-03</t>
        </is>
      </c>
      <c r="B96" s="12" t="inlineStr">
        <is>
          <t>Véhicule en panne qui déborde de l'accotement</t>
        </is>
      </c>
      <c r="C96" s="13" t="inlineStr">
        <is>
          <t>K</t>
        </is>
      </c>
      <c r="D96" s="13" t="inlineStr">
        <is>
          <t>K</t>
        </is>
      </c>
      <c r="E96" s="13" t="inlineStr">
        <is>
          <t>L</t>
        </is>
      </c>
      <c r="F96" s="14" t="n"/>
      <c r="G96" s="14" t="n"/>
      <c r="H96" s="14" t="n"/>
      <c r="I96" s="14" t="n"/>
      <c r="J96" s="14" t="n"/>
      <c r="K96" s="14" t="n"/>
      <c r="L96" s="14" t="n"/>
      <c r="M96" s="14" t="n"/>
      <c r="N96" s="14" t="n"/>
      <c r="O96" s="14" t="n"/>
      <c r="P96" s="14" t="n"/>
      <c r="Q96" s="14" t="n"/>
      <c r="R96" s="14" t="n"/>
      <c r="S96" s="14" t="n"/>
      <c r="T96" s="14" t="n"/>
      <c r="U96" s="14" t="n"/>
      <c r="V96" s="14" t="n"/>
      <c r="W96" s="14" t="n"/>
      <c r="X96" s="12">
        <f>COUNTA(C96:W96)</f>
        <v/>
      </c>
    </row>
    <row r="97">
      <c r="A97" s="12" t="inlineStr">
        <is>
          <t>OBJ-04</t>
        </is>
      </c>
      <c r="B97" s="12" t="inlineStr">
        <is>
          <t>Animal sur la chaussée</t>
        </is>
      </c>
      <c r="C97" s="13" t="inlineStr">
        <is>
          <t>K</t>
        </is>
      </c>
      <c r="D97" s="13" t="inlineStr">
        <is>
          <t>K</t>
        </is>
      </c>
      <c r="E97" s="14" t="n"/>
      <c r="F97" s="14" t="n"/>
      <c r="G97" s="14" t="n"/>
      <c r="H97" s="14" t="n"/>
      <c r="I97" s="13" t="inlineStr">
        <is>
          <t>I</t>
        </is>
      </c>
      <c r="J97" s="13" t="inlineStr">
        <is>
          <t>E</t>
        </is>
      </c>
      <c r="K97" s="14" t="n"/>
      <c r="L97" s="14" t="n"/>
      <c r="M97" s="14" t="n"/>
      <c r="N97" s="14" t="n"/>
      <c r="O97" s="14" t="n"/>
      <c r="P97" s="14" t="n"/>
      <c r="Q97" s="14" t="n"/>
      <c r="R97" s="14" t="n"/>
      <c r="S97" s="14" t="n"/>
      <c r="T97" s="14" t="n"/>
      <c r="U97" s="14" t="n"/>
      <c r="V97" s="14" t="n"/>
      <c r="W97" s="14" t="n"/>
      <c r="X97" s="12">
        <f>COUNTA(C97:W97)</f>
        <v/>
      </c>
    </row>
    <row r="98">
      <c r="A98" s="12" t="inlineStr">
        <is>
          <t>OBJ-05</t>
        </is>
      </c>
      <c r="B98" s="12" t="inlineStr">
        <is>
          <t>Piéton sur l'autoroute</t>
        </is>
      </c>
      <c r="C98" s="13" t="inlineStr">
        <is>
          <t>K</t>
        </is>
      </c>
      <c r="D98" s="13" t="inlineStr">
        <is>
          <t>K</t>
        </is>
      </c>
      <c r="E98" s="14" t="n"/>
      <c r="F98" s="14" t="n"/>
      <c r="G98" s="14" t="n"/>
      <c r="H98" s="13" t="inlineStr">
        <is>
          <t>S</t>
        </is>
      </c>
      <c r="I98" s="13" t="inlineStr">
        <is>
          <t>I</t>
        </is>
      </c>
      <c r="J98" s="14" t="n"/>
      <c r="K98" s="14" t="n"/>
      <c r="L98" s="14" t="n"/>
      <c r="M98" s="14" t="n"/>
      <c r="N98" s="14" t="n"/>
      <c r="O98" s="14" t="n"/>
      <c r="P98" s="14" t="n"/>
      <c r="Q98" s="14" t="n"/>
      <c r="R98" s="14" t="n"/>
      <c r="S98" s="14" t="n"/>
      <c r="T98" s="14" t="n"/>
      <c r="U98" s="14" t="n"/>
      <c r="V98" s="14" t="n"/>
      <c r="W98" s="14" t="n"/>
      <c r="X98" s="12">
        <f>COUNTA(C98:W98)</f>
        <v/>
      </c>
    </row>
    <row r="99">
      <c r="A99" s="12" t="inlineStr">
        <is>
          <t>OBJ-06</t>
        </is>
      </c>
      <c r="B99" s="12" t="inlineStr">
        <is>
          <t>Objet qui apparaît soudainement près du SDT</t>
        </is>
      </c>
      <c r="C99" s="13" t="inlineStr">
        <is>
          <t>K</t>
        </is>
      </c>
      <c r="D99" s="13" t="inlineStr">
        <is>
          <t>K</t>
        </is>
      </c>
      <c r="E99" s="14" t="n"/>
      <c r="F99" s="14" t="n"/>
      <c r="G99" s="14" t="n"/>
      <c r="H99" s="14" t="n"/>
      <c r="I99" s="13" t="inlineStr">
        <is>
          <t>I</t>
        </is>
      </c>
      <c r="J99" s="13" t="inlineStr">
        <is>
          <t>E</t>
        </is>
      </c>
      <c r="K99" s="14" t="n"/>
      <c r="L99" s="14" t="n"/>
      <c r="M99" s="14" t="n"/>
      <c r="N99" s="14" t="n"/>
      <c r="O99" s="14" t="n"/>
      <c r="P99" s="14" t="n"/>
      <c r="Q99" s="14" t="n"/>
      <c r="R99" s="14" t="n"/>
      <c r="S99" s="14" t="n"/>
      <c r="T99" s="14" t="n"/>
      <c r="U99" s="14" t="n"/>
      <c r="V99" s="14" t="n"/>
      <c r="W99" s="14" t="n"/>
      <c r="X99" s="12">
        <f>COUNTA(C99:W99)</f>
        <v/>
      </c>
    </row>
    <row r="100">
      <c r="A100" s="9" t="inlineStr">
        <is>
          <t>AB · Comportements anormaux des autres usagers</t>
        </is>
      </c>
      <c r="B100" s="10"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0" t="n"/>
    </row>
    <row r="101">
      <c r="A101" s="12" t="inlineStr">
        <is>
          <t>AB-01</t>
        </is>
      </c>
      <c r="B101" s="12" t="inlineStr">
        <is>
          <t>Conducteur à contresens</t>
        </is>
      </c>
      <c r="C101" s="14" t="n"/>
      <c r="D101" s="14" t="n"/>
      <c r="E101" s="14" t="n"/>
      <c r="F101" s="14" t="n"/>
      <c r="G101" s="14" t="n"/>
      <c r="H101" s="15" t="inlineStr">
        <is>
          <t>2</t>
        </is>
      </c>
      <c r="I101" s="15" t="inlineStr">
        <is>
          <t>2</t>
        </is>
      </c>
      <c r="J101" s="15" t="inlineStr">
        <is>
          <t>2</t>
        </is>
      </c>
      <c r="K101" s="14" t="n"/>
      <c r="L101" s="14" t="n"/>
      <c r="M101" s="14" t="n"/>
      <c r="N101" s="14" t="n"/>
      <c r="O101" s="14" t="n"/>
      <c r="P101" s="14" t="n"/>
      <c r="Q101" s="14" t="n"/>
      <c r="R101" s="14" t="n"/>
      <c r="S101" s="14" t="n"/>
      <c r="T101" s="14" t="n"/>
      <c r="U101" s="14" t="n"/>
      <c r="V101" s="14" t="n"/>
      <c r="W101" s="14" t="n"/>
      <c r="X101" s="12">
        <f>COUNTA(C101:W101)</f>
        <v/>
      </c>
    </row>
    <row r="102">
      <c r="A102" s="12" t="inlineStr">
        <is>
          <t>AB-02</t>
        </is>
      </c>
      <c r="B102" s="12" t="inlineStr">
        <is>
          <t>Suiveur trop proche (tailgater)</t>
        </is>
      </c>
      <c r="C102" s="13" t="inlineStr">
        <is>
          <t>K</t>
        </is>
      </c>
      <c r="D102" s="13" t="inlineStr">
        <is>
          <t>K</t>
        </is>
      </c>
      <c r="E102" s="14" t="n"/>
      <c r="F102" s="14" t="n"/>
      <c r="G102" s="14" t="n"/>
      <c r="H102" s="13" t="inlineStr">
        <is>
          <t>S</t>
        </is>
      </c>
      <c r="I102" s="13" t="inlineStr">
        <is>
          <t>I</t>
        </is>
      </c>
      <c r="J102" s="14" t="n"/>
      <c r="K102" s="14" t="n"/>
      <c r="L102" s="14" t="n"/>
      <c r="M102" s="14" t="n"/>
      <c r="N102" s="14" t="n"/>
      <c r="O102" s="14" t="n"/>
      <c r="P102" s="14" t="n"/>
      <c r="Q102" s="14" t="n"/>
      <c r="R102" s="14" t="n"/>
      <c r="S102" s="14" t="n"/>
      <c r="T102" s="14" t="n"/>
      <c r="U102" s="14" t="n"/>
      <c r="V102" s="14" t="n"/>
      <c r="W102" s="14" t="n"/>
      <c r="X102" s="12">
        <f>COUNTA(C102:W102)</f>
        <v/>
      </c>
    </row>
    <row r="103">
      <c r="A103" s="12" t="inlineStr">
        <is>
          <t>AB-03</t>
        </is>
      </c>
      <c r="B103" s="12" t="inlineStr">
        <is>
          <t>Véhicule qui roule sur l'accotement</t>
        </is>
      </c>
      <c r="C103" s="13" t="inlineStr">
        <is>
          <t>K</t>
        </is>
      </c>
      <c r="D103" s="14" t="n"/>
      <c r="E103" s="14" t="n"/>
      <c r="F103" s="14" t="n"/>
      <c r="G103" s="14" t="n"/>
      <c r="H103" s="13" t="inlineStr">
        <is>
          <t>S</t>
        </is>
      </c>
      <c r="I103" s="14" t="n"/>
      <c r="J103" s="14" t="n"/>
      <c r="K103" s="14" t="n"/>
      <c r="L103" s="14" t="n"/>
      <c r="M103" s="14" t="n"/>
      <c r="N103" s="14" t="n"/>
      <c r="O103" s="14" t="n"/>
      <c r="P103" s="14" t="n"/>
      <c r="Q103" s="14" t="n"/>
      <c r="R103" s="14" t="n"/>
      <c r="S103" s="14" t="n"/>
      <c r="T103" s="14" t="n"/>
      <c r="U103" s="14" t="n"/>
      <c r="V103" s="14" t="n"/>
      <c r="W103" s="14" t="n"/>
      <c r="X103" s="12">
        <f>COUNTA(C103:W103)</f>
        <v/>
      </c>
    </row>
    <row r="104">
      <c r="A104" s="9" t="inlineStr">
        <is>
          <t>LC-ABT · Annulation et fallback pendant le changement de voie</t>
        </is>
      </c>
      <c r="B104" s="10"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0" t="n"/>
    </row>
    <row r="105">
      <c r="A105" s="12" t="inlineStr">
        <is>
          <t>LC-ABT-01</t>
        </is>
      </c>
      <c r="B105" s="12" t="inlineStr">
        <is>
          <t>lane change abort and return</t>
        </is>
      </c>
      <c r="C105" s="14" t="n"/>
      <c r="D105" s="14" t="n"/>
      <c r="E105" s="13" t="inlineStr">
        <is>
          <t>L</t>
        </is>
      </c>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2">
        <f>COUNTA(C105:W105)</f>
        <v/>
      </c>
    </row>
    <row r="106">
      <c r="A106" s="12" t="inlineStr">
        <is>
          <t>LC-ABT-02</t>
        </is>
      </c>
      <c r="B106" s="12" t="inlineStr">
        <is>
          <t>lane change interrupted by ddt fallback</t>
        </is>
      </c>
      <c r="C106" s="14" t="n"/>
      <c r="D106" s="14" t="n"/>
      <c r="E106" s="13" t="inlineStr">
        <is>
          <t>L</t>
        </is>
      </c>
      <c r="F106" s="14" t="n"/>
      <c r="G106" s="14" t="n"/>
      <c r="H106" s="13" t="inlineStr">
        <is>
          <t>S</t>
        </is>
      </c>
      <c r="I106" s="13" t="inlineStr">
        <is>
          <t>I</t>
        </is>
      </c>
      <c r="J106" s="14" t="n"/>
      <c r="K106" s="14" t="n"/>
      <c r="L106" s="14" t="n"/>
      <c r="M106" s="14" t="n"/>
      <c r="N106" s="14" t="n"/>
      <c r="O106" s="14" t="n"/>
      <c r="P106" s="14" t="n"/>
      <c r="Q106" s="14" t="n"/>
      <c r="R106" s="14" t="n"/>
      <c r="S106" s="14" t="n"/>
      <c r="T106" s="14" t="n"/>
      <c r="U106" s="14" t="n"/>
      <c r="V106" s="14" t="n"/>
      <c r="W106" s="14" t="n"/>
      <c r="X106" s="12">
        <f>COUNTA(C106:W106)</f>
        <v/>
      </c>
    </row>
    <row r="107">
      <c r="A107" s="9" t="inlineStr">
        <is>
          <t>FB · Fallback et MRM (DDT-F)</t>
        </is>
      </c>
      <c r="B107" s="10"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0" t="n"/>
    </row>
    <row r="108">
      <c r="A108" s="12" t="inlineStr">
        <is>
          <t>FB-01</t>
        </is>
      </c>
      <c r="B108" s="12" t="inlineStr">
        <is>
          <t>Dégradation système, accotement disponible</t>
        </is>
      </c>
      <c r="C108" s="14" t="n"/>
      <c r="D108" s="14" t="n"/>
      <c r="E108" s="14" t="n"/>
      <c r="F108" s="14" t="n"/>
      <c r="G108" s="14" t="n"/>
      <c r="H108" s="13" t="inlineStr">
        <is>
          <t>S</t>
        </is>
      </c>
      <c r="I108" s="14" t="n"/>
      <c r="J108" s="14" t="n"/>
      <c r="K108" s="14" t="n"/>
      <c r="L108" s="14" t="n"/>
      <c r="M108" s="14" t="n"/>
      <c r="N108" s="14" t="n"/>
      <c r="O108" s="14" t="n"/>
      <c r="P108" s="14" t="n"/>
      <c r="Q108" s="14" t="n"/>
      <c r="R108" s="14" t="n"/>
      <c r="S108" s="14" t="n"/>
      <c r="T108" s="14" t="n"/>
      <c r="U108" s="14" t="n"/>
      <c r="V108" s="14" t="n"/>
      <c r="W108" s="14" t="n"/>
      <c r="X108" s="12">
        <f>COUNTA(C108:W108)</f>
        <v/>
      </c>
    </row>
    <row r="109">
      <c r="A109" s="12" t="inlineStr">
        <is>
          <t>FB-02</t>
        </is>
      </c>
      <c r="B109" s="12" t="inlineStr">
        <is>
          <t>Dégradation sans accotement disponible</t>
        </is>
      </c>
      <c r="C109" s="14" t="n"/>
      <c r="D109" s="14" t="n"/>
      <c r="E109" s="14" t="n"/>
      <c r="F109" s="14" t="n"/>
      <c r="G109" s="14" t="n"/>
      <c r="H109" s="14" t="n"/>
      <c r="I109" s="13" t="inlineStr">
        <is>
          <t>I</t>
        </is>
      </c>
      <c r="J109" s="14" t="n"/>
      <c r="K109" s="14" t="n"/>
      <c r="L109" s="14" t="n"/>
      <c r="M109" s="14" t="n"/>
      <c r="N109" s="14" t="n"/>
      <c r="O109" s="14" t="n"/>
      <c r="P109" s="14" t="n"/>
      <c r="Q109" s="14" t="n"/>
      <c r="R109" s="14" t="n"/>
      <c r="S109" s="14" t="n"/>
      <c r="T109" s="14" t="n"/>
      <c r="U109" s="14" t="n"/>
      <c r="V109" s="14" t="n"/>
      <c r="W109" s="14" t="n"/>
      <c r="X109" s="12">
        <f>COUNTA(C109:W109)</f>
        <v/>
      </c>
    </row>
    <row r="110">
      <c r="A110" s="12" t="inlineStr">
        <is>
          <t>FB-03</t>
        </is>
      </c>
      <c r="B110" s="12" t="inlineStr">
        <is>
          <t>Accotement occupé au point d'arrêt prévu</t>
        </is>
      </c>
      <c r="C110" s="14" t="n"/>
      <c r="D110" s="14" t="n"/>
      <c r="E110" s="14" t="n"/>
      <c r="F110" s="14" t="n"/>
      <c r="G110" s="14" t="n"/>
      <c r="H110" s="13" t="inlineStr">
        <is>
          <t>S</t>
        </is>
      </c>
      <c r="I110" s="14" t="n"/>
      <c r="J110" s="14" t="n"/>
      <c r="K110" s="14" t="n"/>
      <c r="L110" s="14" t="n"/>
      <c r="M110" s="14" t="n"/>
      <c r="N110" s="14" t="n"/>
      <c r="O110" s="14" t="n"/>
      <c r="P110" s="14" t="n"/>
      <c r="Q110" s="14" t="n"/>
      <c r="R110" s="14" t="n"/>
      <c r="S110" s="14" t="n"/>
      <c r="T110" s="14" t="n"/>
      <c r="U110" s="14" t="n"/>
      <c r="V110" s="14" t="n"/>
      <c r="W110" s="14" t="n"/>
      <c r="X110" s="12">
        <f>COUNTA(C110:W110)</f>
        <v/>
      </c>
    </row>
    <row r="111">
      <c r="A111" s="12" t="inlineStr">
        <is>
          <t>FB-04</t>
        </is>
      </c>
      <c r="B111" s="12" t="inlineStr">
        <is>
          <t>Arrêt en voie avec un suiveur rapide</t>
        </is>
      </c>
      <c r="C111" s="14" t="n"/>
      <c r="D111" s="14" t="n"/>
      <c r="E111" s="14" t="n"/>
      <c r="F111" s="14" t="n"/>
      <c r="G111" s="14" t="n"/>
      <c r="H111" s="14" t="n"/>
      <c r="I111" s="13" t="inlineStr">
        <is>
          <t>I</t>
        </is>
      </c>
      <c r="J111" s="14" t="n"/>
      <c r="K111" s="14" t="n"/>
      <c r="L111" s="14" t="n"/>
      <c r="M111" s="14" t="n"/>
      <c r="N111" s="14" t="n"/>
      <c r="O111" s="14" t="n"/>
      <c r="P111" s="14" t="n"/>
      <c r="Q111" s="14" t="n"/>
      <c r="R111" s="14" t="n"/>
      <c r="S111" s="14" t="n"/>
      <c r="T111" s="14" t="n"/>
      <c r="U111" s="14" t="n"/>
      <c r="V111" s="14" t="n"/>
      <c r="W111" s="14" t="n"/>
      <c r="X111" s="12">
        <f>COUNTA(C111:W111)</f>
        <v/>
      </c>
    </row>
    <row r="112">
      <c r="A112" s="12" t="inlineStr">
        <is>
          <t>FB-05</t>
        </is>
      </c>
      <c r="B112" s="12" t="inlineStr">
        <is>
          <t>Évitement latéral d'urgence, voie adjacente libre</t>
        </is>
      </c>
      <c r="C112" s="14" t="n"/>
      <c r="D112" s="14" t="n"/>
      <c r="E112" s="14" t="n"/>
      <c r="F112" s="14" t="n"/>
      <c r="G112" s="14" t="n"/>
      <c r="H112" s="14" t="n"/>
      <c r="I112" s="14" t="n"/>
      <c r="J112" s="13" t="inlineStr">
        <is>
          <t>E</t>
        </is>
      </c>
      <c r="K112" s="14" t="n"/>
      <c r="L112" s="14" t="n"/>
      <c r="M112" s="14" t="n"/>
      <c r="N112" s="14" t="n"/>
      <c r="O112" s="14" t="n"/>
      <c r="P112" s="14" t="n"/>
      <c r="Q112" s="14" t="n"/>
      <c r="R112" s="14" t="n"/>
      <c r="S112" s="14" t="n"/>
      <c r="T112" s="14" t="n"/>
      <c r="U112" s="14" t="n"/>
      <c r="V112" s="14" t="n"/>
      <c r="W112" s="14" t="n"/>
      <c r="X112" s="12">
        <f>COUNTA(C112:W112)</f>
        <v/>
      </c>
    </row>
    <row r="113">
      <c r="A113" s="12" t="inlineStr">
        <is>
          <t>FB-06</t>
        </is>
      </c>
      <c r="B113" s="12" t="inlineStr">
        <is>
          <t>Évitement latéral d'urgence, voie adjacente occupée</t>
        </is>
      </c>
      <c r="C113" s="14" t="n"/>
      <c r="D113" s="14" t="n"/>
      <c r="E113" s="14" t="n"/>
      <c r="F113" s="14" t="n"/>
      <c r="G113" s="14" t="n"/>
      <c r="H113" s="14" t="n"/>
      <c r="I113" s="14" t="n"/>
      <c r="J113" s="13" t="inlineStr">
        <is>
          <t>E</t>
        </is>
      </c>
      <c r="K113" s="14" t="n"/>
      <c r="L113" s="14" t="n"/>
      <c r="M113" s="14" t="n"/>
      <c r="N113" s="14" t="n"/>
      <c r="O113" s="14" t="n"/>
      <c r="P113" s="14" t="n"/>
      <c r="Q113" s="14" t="n"/>
      <c r="R113" s="14" t="n"/>
      <c r="S113" s="14" t="n"/>
      <c r="T113" s="14" t="n"/>
      <c r="U113" s="14" t="n"/>
      <c r="V113" s="14" t="n"/>
      <c r="W113" s="14" t="n"/>
      <c r="X113" s="12">
        <f>COUNTA(C113:W113)</f>
        <v/>
      </c>
    </row>
    <row r="114">
      <c r="A114" s="12" t="inlineStr">
        <is>
          <t>FB-07</t>
        </is>
      </c>
      <c r="B114" s="12" t="inlineStr">
        <is>
          <t>Commande d'arrêt en voie à distance (HICD)</t>
        </is>
      </c>
      <c r="C114" s="14" t="n"/>
      <c r="D114" s="14" t="n"/>
      <c r="E114" s="14" t="n"/>
      <c r="F114" s="14" t="n"/>
      <c r="G114" s="14" t="n"/>
      <c r="H114" s="14" t="n"/>
      <c r="I114" s="13" t="inlineStr">
        <is>
          <t>I</t>
        </is>
      </c>
      <c r="J114" s="14" t="n"/>
      <c r="K114" s="14" t="n"/>
      <c r="L114" s="14" t="n"/>
      <c r="M114" s="14" t="n"/>
      <c r="N114" s="14" t="n"/>
      <c r="O114" s="14" t="n"/>
      <c r="P114" s="14" t="n"/>
      <c r="Q114" s="13" t="inlineStr">
        <is>
          <t>I</t>
        </is>
      </c>
      <c r="R114" s="14" t="n"/>
      <c r="S114" s="14" t="n"/>
      <c r="T114" s="14" t="n"/>
      <c r="U114" s="14" t="n"/>
      <c r="V114" s="14" t="n"/>
      <c r="W114" s="14" t="n"/>
      <c r="X114" s="12">
        <f>COUNTA(C114:W114)</f>
        <v/>
      </c>
    </row>
    <row r="115">
      <c r="A115" s="12" t="inlineStr">
        <is>
          <t>FB-08</t>
        </is>
      </c>
      <c r="B115" s="12" t="inlineStr">
        <is>
          <t>Reprise de la circulation après un arrêt sur l'accotement</t>
        </is>
      </c>
      <c r="C115" s="14" t="n"/>
      <c r="D115" s="14" t="n"/>
      <c r="E115" s="14" t="n"/>
      <c r="F115" s="14" t="n"/>
      <c r="G115" s="14" t="n"/>
      <c r="H115" s="15" t="inlineStr">
        <is>
          <t>2</t>
        </is>
      </c>
      <c r="I115" s="14" t="n"/>
      <c r="J115" s="14" t="n"/>
      <c r="K115" s="14" t="n"/>
      <c r="L115" s="14" t="n"/>
      <c r="M115" s="14" t="n"/>
      <c r="N115" s="14" t="n"/>
      <c r="O115" s="14" t="n"/>
      <c r="P115" s="14" t="n"/>
      <c r="Q115" s="14" t="n"/>
      <c r="R115" s="14" t="n"/>
      <c r="S115" s="14" t="n"/>
      <c r="T115" s="14" t="n"/>
      <c r="U115" s="14" t="n"/>
      <c r="V115" s="14" t="n"/>
      <c r="W115" s="14" t="n"/>
      <c r="X115" s="12">
        <f>COUNTA(C115:W115)</f>
        <v/>
      </c>
    </row>
    <row r="116">
      <c r="A116" s="9" t="inlineStr">
        <is>
          <t>URB · Situations urbaines (intersections, piétons, cyclistes)</t>
        </is>
      </c>
      <c r="B116" s="10"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0" t="n"/>
    </row>
    <row r="117">
      <c r="A117" s="12" t="inlineStr">
        <is>
          <t>URB-01</t>
        </is>
      </c>
      <c r="B117" s="12" t="inlineStr">
        <is>
          <t>Feu vert, traversée tout droit</t>
        </is>
      </c>
      <c r="C117" s="14" t="n"/>
      <c r="D117" s="14" t="n"/>
      <c r="E117" s="14" t="n"/>
      <c r="F117" s="14" t="n"/>
      <c r="G117" s="14" t="n"/>
      <c r="H117" s="14" t="n"/>
      <c r="I117" s="14" t="n"/>
      <c r="J117" s="14" t="n"/>
      <c r="K117" s="14" t="n"/>
      <c r="L117" s="14" t="n"/>
      <c r="M117" s="14" t="n"/>
      <c r="N117" s="14" t="n"/>
      <c r="O117" s="14" t="n"/>
      <c r="P117" s="15" t="inlineStr">
        <is>
          <t>2</t>
        </is>
      </c>
      <c r="Q117" s="14" t="n"/>
      <c r="R117" s="14" t="n"/>
      <c r="S117" s="14" t="n"/>
      <c r="T117" s="14" t="n"/>
      <c r="U117" s="14" t="n"/>
      <c r="V117" s="14" t="n"/>
      <c r="W117" s="14" t="n"/>
      <c r="X117" s="12">
        <f>COUNTA(C117:W117)</f>
        <v/>
      </c>
    </row>
    <row r="118">
      <c r="A118" s="12" t="inlineStr">
        <is>
          <t>URB-02</t>
        </is>
      </c>
      <c r="B118" s="12" t="inlineStr">
        <is>
          <t>Véhicule qui grille le feu rouge</t>
        </is>
      </c>
      <c r="C118" s="14" t="n"/>
      <c r="D118" s="14" t="n"/>
      <c r="E118" s="14" t="n"/>
      <c r="F118" s="14" t="n"/>
      <c r="G118" s="14" t="n"/>
      <c r="H118" s="14" t="n"/>
      <c r="I118" s="14" t="n"/>
      <c r="J118" s="14" t="n"/>
      <c r="K118" s="14" t="n"/>
      <c r="L118" s="14" t="n"/>
      <c r="M118" s="14" t="n"/>
      <c r="N118" s="14" t="n"/>
      <c r="O118" s="15" t="inlineStr">
        <is>
          <t>2</t>
        </is>
      </c>
      <c r="P118" s="15" t="inlineStr">
        <is>
          <t>2</t>
        </is>
      </c>
      <c r="Q118" s="14" t="n"/>
      <c r="R118" s="14" t="n"/>
      <c r="S118" s="14" t="n"/>
      <c r="T118" s="14" t="n"/>
      <c r="U118" s="14" t="n"/>
      <c r="V118" s="14" t="n"/>
      <c r="W118" s="14" t="n"/>
      <c r="X118" s="12">
        <f>COUNTA(C118:W118)</f>
        <v/>
      </c>
    </row>
    <row r="119">
      <c r="A119" s="12" t="inlineStr">
        <is>
          <t>URB-03</t>
        </is>
      </c>
      <c r="B119" s="12" t="inlineStr">
        <is>
          <t>Stop à 4 voies, ordre d'arrivée ambigu</t>
        </is>
      </c>
      <c r="C119" s="14" t="n"/>
      <c r="D119" s="14" t="n"/>
      <c r="E119" s="14" t="n"/>
      <c r="F119" s="14" t="n"/>
      <c r="G119" s="14" t="n"/>
      <c r="H119" s="14" t="n"/>
      <c r="I119" s="14" t="n"/>
      <c r="J119" s="14" t="n"/>
      <c r="K119" s="14" t="n"/>
      <c r="L119" s="14" t="n"/>
      <c r="M119" s="14" t="n"/>
      <c r="N119" s="14" t="n"/>
      <c r="O119" s="15" t="inlineStr">
        <is>
          <t>2</t>
        </is>
      </c>
      <c r="P119" s="15" t="inlineStr">
        <is>
          <t>2</t>
        </is>
      </c>
      <c r="Q119" s="14" t="n"/>
      <c r="R119" s="14" t="n"/>
      <c r="S119" s="14" t="n"/>
      <c r="T119" s="14" t="n"/>
      <c r="U119" s="14" t="n"/>
      <c r="V119" s="14" t="n"/>
      <c r="W119" s="14" t="n"/>
      <c r="X119" s="12">
        <f>COUNTA(C119:W119)</f>
        <v/>
      </c>
    </row>
    <row r="120">
      <c r="A120" s="12" t="inlineStr">
        <is>
          <t>URB-04</t>
        </is>
      </c>
      <c r="B120" s="12" t="inlineStr">
        <is>
          <t>Tourne-à-gauche non protégé, trafic en face</t>
        </is>
      </c>
      <c r="C120" s="14" t="n"/>
      <c r="D120" s="14" t="n"/>
      <c r="E120" s="14" t="n"/>
      <c r="F120" s="14" t="n"/>
      <c r="G120" s="14" t="n"/>
      <c r="H120" s="14" t="n"/>
      <c r="I120" s="14" t="n"/>
      <c r="J120" s="14" t="n"/>
      <c r="K120" s="14" t="n"/>
      <c r="L120" s="14" t="n"/>
      <c r="M120" s="14" t="n"/>
      <c r="N120" s="14" t="n"/>
      <c r="O120" s="15" t="inlineStr">
        <is>
          <t>2</t>
        </is>
      </c>
      <c r="P120" s="14" t="n"/>
      <c r="Q120" s="14" t="n"/>
      <c r="R120" s="14" t="n"/>
      <c r="S120" s="14" t="n"/>
      <c r="T120" s="14" t="n"/>
      <c r="U120" s="14" t="n"/>
      <c r="V120" s="14" t="n"/>
      <c r="W120" s="14" t="n"/>
      <c r="X120" s="12">
        <f>COUNTA(C120:W120)</f>
        <v/>
      </c>
    </row>
    <row r="121">
      <c r="A121" s="12" t="inlineStr">
        <is>
          <t>URB-05</t>
        </is>
      </c>
      <c r="B121" s="12" t="inlineStr">
        <is>
          <t>Tourne-à-droite avec piéton sur le passage</t>
        </is>
      </c>
      <c r="C121" s="14" t="n"/>
      <c r="D121" s="14" t="n"/>
      <c r="E121" s="14" t="n"/>
      <c r="F121" s="14" t="n"/>
      <c r="G121" s="14" t="n"/>
      <c r="H121" s="14" t="n"/>
      <c r="I121" s="14" t="n"/>
      <c r="J121" s="14" t="n"/>
      <c r="K121" s="14" t="n"/>
      <c r="L121" s="14" t="n"/>
      <c r="M121" s="14" t="n"/>
      <c r="N121" s="15" t="inlineStr">
        <is>
          <t>2</t>
        </is>
      </c>
      <c r="O121" s="15" t="inlineStr">
        <is>
          <t>2</t>
        </is>
      </c>
      <c r="P121" s="14" t="n"/>
      <c r="Q121" s="14" t="n"/>
      <c r="R121" s="14" t="n"/>
      <c r="S121" s="14" t="n"/>
      <c r="T121" s="14" t="n"/>
      <c r="U121" s="14" t="n"/>
      <c r="V121" s="14" t="n"/>
      <c r="W121" s="14" t="n"/>
      <c r="X121" s="12">
        <f>COUNTA(C121:W121)</f>
        <v/>
      </c>
    </row>
    <row r="122">
      <c r="A122" s="12" t="inlineStr">
        <is>
          <t>URB-06</t>
        </is>
      </c>
      <c r="B122" s="12" t="inlineStr">
        <is>
          <t>Tourne-à-droite : remorque qui coupe le trottoir, cycliste à droite</t>
        </is>
      </c>
      <c r="C122" s="14" t="n"/>
      <c r="D122" s="14" t="n"/>
      <c r="E122" s="14" t="n"/>
      <c r="F122" s="14" t="n"/>
      <c r="G122" s="14" t="n"/>
      <c r="H122" s="14" t="n"/>
      <c r="I122" s="14" t="n"/>
      <c r="J122" s="14" t="n"/>
      <c r="K122" s="14" t="n"/>
      <c r="L122" s="14" t="n"/>
      <c r="M122" s="14" t="n"/>
      <c r="N122" s="14" t="n"/>
      <c r="O122" s="15" t="inlineStr">
        <is>
          <t>2</t>
        </is>
      </c>
      <c r="P122" s="14" t="n"/>
      <c r="Q122" s="14" t="n"/>
      <c r="R122" s="14" t="n"/>
      <c r="S122" s="14" t="n"/>
      <c r="T122" s="14" t="n"/>
      <c r="U122" s="14" t="n"/>
      <c r="V122" s="14" t="n"/>
      <c r="W122" s="14" t="n"/>
      <c r="X122" s="12">
        <f>COUNTA(C122:W122)</f>
        <v/>
      </c>
    </row>
    <row r="123">
      <c r="A123" s="12" t="inlineStr">
        <is>
          <t>URB-07</t>
        </is>
      </c>
      <c r="B123" s="12" t="inlineStr">
        <is>
          <t>Trafic transversal à une intersection sans feux</t>
        </is>
      </c>
      <c r="C123" s="14" t="n"/>
      <c r="D123" s="14" t="n"/>
      <c r="E123" s="14" t="n"/>
      <c r="F123" s="14" t="n"/>
      <c r="G123" s="14" t="n"/>
      <c r="H123" s="14" t="n"/>
      <c r="I123" s="14" t="n"/>
      <c r="J123" s="14" t="n"/>
      <c r="K123" s="14" t="n"/>
      <c r="L123" s="14" t="n"/>
      <c r="M123" s="14" t="n"/>
      <c r="N123" s="14" t="n"/>
      <c r="O123" s="14" t="n"/>
      <c r="P123" s="15" t="inlineStr">
        <is>
          <t>2</t>
        </is>
      </c>
      <c r="Q123" s="14" t="n"/>
      <c r="R123" s="14" t="n"/>
      <c r="S123" s="14" t="n"/>
      <c r="T123" s="14" t="n"/>
      <c r="U123" s="14" t="n"/>
      <c r="V123" s="14" t="n"/>
      <c r="W123" s="14" t="n"/>
      <c r="X123" s="12">
        <f>COUNTA(C123:W123)</f>
        <v/>
      </c>
    </row>
    <row r="124">
      <c r="A124" s="12" t="inlineStr">
        <is>
          <t>URB-08</t>
        </is>
      </c>
      <c r="B124" s="12" t="inlineStr">
        <is>
          <t>Piéton qui attend ou s'engage sur un passage</t>
        </is>
      </c>
      <c r="C124" s="14" t="n"/>
      <c r="D124" s="14" t="n"/>
      <c r="E124" s="14" t="n"/>
      <c r="F124" s="14" t="n"/>
      <c r="G124" s="14" t="n"/>
      <c r="H124" s="14" t="n"/>
      <c r="I124" s="14" t="n"/>
      <c r="J124" s="14" t="n"/>
      <c r="K124" s="14" t="n"/>
      <c r="L124" s="14" t="n"/>
      <c r="M124" s="14" t="n"/>
      <c r="N124" s="15" t="inlineStr">
        <is>
          <t>2</t>
        </is>
      </c>
      <c r="O124" s="14" t="n"/>
      <c r="P124" s="14" t="n"/>
      <c r="Q124" s="14" t="n"/>
      <c r="R124" s="14" t="n"/>
      <c r="S124" s="14" t="n"/>
      <c r="T124" s="14" t="n"/>
      <c r="U124" s="14" t="n"/>
      <c r="V124" s="14" t="n"/>
      <c r="W124" s="14" t="n"/>
      <c r="X124" s="12">
        <f>COUNTA(C124:W124)</f>
        <v/>
      </c>
    </row>
    <row r="125">
      <c r="A125" s="12" t="inlineStr">
        <is>
          <t>URB-09</t>
        </is>
      </c>
      <c r="B125" s="12" t="inlineStr">
        <is>
          <t>Piéton masqué par un véhicule garé</t>
        </is>
      </c>
      <c r="C125" s="14" t="n"/>
      <c r="D125" s="14" t="n"/>
      <c r="E125" s="14" t="n"/>
      <c r="F125" s="14" t="n"/>
      <c r="G125" s="14" t="n"/>
      <c r="H125" s="14" t="n"/>
      <c r="I125" s="14" t="n"/>
      <c r="J125" s="14" t="n"/>
      <c r="K125" s="15" t="inlineStr">
        <is>
          <t>2</t>
        </is>
      </c>
      <c r="L125" s="14" t="n"/>
      <c r="M125" s="14" t="n"/>
      <c r="N125" s="15" t="inlineStr">
        <is>
          <t>2</t>
        </is>
      </c>
      <c r="O125" s="14" t="n"/>
      <c r="P125" s="14" t="n"/>
      <c r="Q125" s="14" t="n"/>
      <c r="R125" s="14" t="n"/>
      <c r="S125" s="14" t="n"/>
      <c r="T125" s="14" t="n"/>
      <c r="U125" s="14" t="n"/>
      <c r="V125" s="14" t="n"/>
      <c r="W125" s="14" t="n"/>
      <c r="X125" s="12">
        <f>COUNTA(C125:W125)</f>
        <v/>
      </c>
    </row>
    <row r="126">
      <c r="A126" s="12" t="inlineStr">
        <is>
          <t>URB-10</t>
        </is>
      </c>
      <c r="B126" s="12" t="inlineStr">
        <is>
          <t>Cycliste dans la voie</t>
        </is>
      </c>
      <c r="C126" s="14" t="n"/>
      <c r="D126" s="14" t="n"/>
      <c r="E126" s="14" t="n"/>
      <c r="F126" s="14" t="n"/>
      <c r="G126" s="14" t="n"/>
      <c r="H126" s="14" t="n"/>
      <c r="I126" s="14" t="n"/>
      <c r="J126" s="14" t="n"/>
      <c r="K126" s="13" t="inlineStr">
        <is>
          <t>K</t>
        </is>
      </c>
      <c r="L126" s="13" t="inlineStr">
        <is>
          <t>K</t>
        </is>
      </c>
      <c r="M126" s="13" t="inlineStr">
        <is>
          <t>L</t>
        </is>
      </c>
      <c r="N126" s="14" t="n"/>
      <c r="O126" s="14" t="n"/>
      <c r="P126" s="14" t="n"/>
      <c r="Q126" s="14" t="n"/>
      <c r="R126" s="14" t="n"/>
      <c r="S126" s="14" t="n"/>
      <c r="T126" s="14" t="n"/>
      <c r="U126" s="14" t="n"/>
      <c r="V126" s="14" t="n"/>
      <c r="W126" s="14" t="n"/>
      <c r="X126" s="12">
        <f>COUNTA(C126:W126)</f>
        <v/>
      </c>
    </row>
    <row r="127">
      <c r="A127" s="12" t="inlineStr">
        <is>
          <t>URB-11</t>
        </is>
      </c>
      <c r="B127" s="12" t="inlineStr">
        <is>
          <t>Véhicule qui sort d'une place de stationnement</t>
        </is>
      </c>
      <c r="C127" s="14" t="n"/>
      <c r="D127" s="14" t="n"/>
      <c r="E127" s="14" t="n"/>
      <c r="F127" s="14" t="n"/>
      <c r="G127" s="14" t="n"/>
      <c r="H127" s="14" t="n"/>
      <c r="I127" s="14" t="n"/>
      <c r="J127" s="14" t="n"/>
      <c r="K127" s="13" t="inlineStr">
        <is>
          <t>K</t>
        </is>
      </c>
      <c r="L127" s="13" t="inlineStr">
        <is>
          <t>K</t>
        </is>
      </c>
      <c r="M127" s="14" t="n"/>
      <c r="N127" s="14" t="n"/>
      <c r="O127" s="14" t="n"/>
      <c r="P127" s="14" t="n"/>
      <c r="Q127" s="14" t="n"/>
      <c r="R127" s="14" t="n"/>
      <c r="S127" s="14" t="n"/>
      <c r="T127" s="14" t="n"/>
      <c r="U127" s="14" t="n"/>
      <c r="V127" s="14" t="n"/>
      <c r="W127" s="14" t="n"/>
      <c r="X127" s="12">
        <f>COUNTA(C127:W127)</f>
        <v/>
      </c>
    </row>
    <row r="128">
      <c r="A128" s="12" t="inlineStr">
        <is>
          <t>URB-12</t>
        </is>
      </c>
      <c r="B128" s="12" t="inlineStr">
        <is>
          <t>Véhicule en double file qui bloque la voie</t>
        </is>
      </c>
      <c r="C128" s="14" t="n"/>
      <c r="D128" s="14" t="n"/>
      <c r="E128" s="14" t="n"/>
      <c r="F128" s="14" t="n"/>
      <c r="G128" s="14" t="n"/>
      <c r="H128" s="14" t="n"/>
      <c r="I128" s="14" t="n"/>
      <c r="J128" s="14" t="n"/>
      <c r="K128" s="14" t="n"/>
      <c r="L128" s="13" t="inlineStr">
        <is>
          <t>K</t>
        </is>
      </c>
      <c r="M128" s="13" t="inlineStr">
        <is>
          <t>L</t>
        </is>
      </c>
      <c r="N128" s="14" t="n"/>
      <c r="O128" s="14" t="n"/>
      <c r="P128" s="14" t="n"/>
      <c r="Q128" s="13" t="inlineStr">
        <is>
          <t>I</t>
        </is>
      </c>
      <c r="R128" s="14" t="n"/>
      <c r="S128" s="14" t="n"/>
      <c r="T128" s="14" t="n"/>
      <c r="U128" s="14" t="n"/>
      <c r="V128" s="14" t="n"/>
      <c r="W128" s="14" t="n"/>
      <c r="X128" s="12">
        <f>COUNTA(C128:W128)</f>
        <v/>
      </c>
    </row>
    <row r="129">
      <c r="A129" s="12" t="inlineStr">
        <is>
          <t>URB-13</t>
        </is>
      </c>
      <c r="B129" s="12" t="inlineStr">
        <is>
          <t>Bus qui s'arrête à un arrêt</t>
        </is>
      </c>
      <c r="C129" s="14" t="n"/>
      <c r="D129" s="14" t="n"/>
      <c r="E129" s="14" t="n"/>
      <c r="F129" s="14" t="n"/>
      <c r="G129" s="14" t="n"/>
      <c r="H129" s="14" t="n"/>
      <c r="I129" s="14" t="n"/>
      <c r="J129" s="14" t="n"/>
      <c r="K129" s="14" t="n"/>
      <c r="L129" s="13" t="inlineStr">
        <is>
          <t>K</t>
        </is>
      </c>
      <c r="M129" s="13" t="inlineStr">
        <is>
          <t>L</t>
        </is>
      </c>
      <c r="N129" s="14" t="n"/>
      <c r="O129" s="14" t="n"/>
      <c r="P129" s="14" t="n"/>
      <c r="Q129" s="14" t="n"/>
      <c r="R129" s="14" t="n"/>
      <c r="S129" s="14" t="n"/>
      <c r="T129" s="14" t="n"/>
      <c r="U129" s="14" t="n"/>
      <c r="V129" s="14" t="n"/>
      <c r="W129" s="14" t="n"/>
      <c r="X129" s="12">
        <f>COUNTA(C129:W129)</f>
        <v/>
      </c>
    </row>
    <row r="130">
      <c r="A130" s="12" t="inlineStr">
        <is>
          <t>URB-14</t>
        </is>
      </c>
      <c r="B130" s="12" t="inlineStr">
        <is>
          <t>Véhicule d'urgence à une intersection</t>
        </is>
      </c>
      <c r="C130" s="14" t="n"/>
      <c r="D130" s="14" t="n"/>
      <c r="E130" s="14" t="n"/>
      <c r="F130" s="14" t="n"/>
      <c r="G130" s="14" t="n"/>
      <c r="H130" s="14" t="n"/>
      <c r="I130" s="14" t="n"/>
      <c r="J130" s="14" t="n"/>
      <c r="K130" s="14" t="n"/>
      <c r="L130" s="14" t="n"/>
      <c r="M130" s="14" t="n"/>
      <c r="N130" s="14" t="n"/>
      <c r="O130" s="15" t="inlineStr">
        <is>
          <t>2</t>
        </is>
      </c>
      <c r="P130" s="15" t="inlineStr">
        <is>
          <t>2</t>
        </is>
      </c>
      <c r="Q130" s="15" t="inlineStr">
        <is>
          <t>2</t>
        </is>
      </c>
      <c r="R130" s="14" t="n"/>
      <c r="S130" s="14" t="n"/>
      <c r="T130" s="14" t="n"/>
      <c r="U130" s="14" t="n"/>
      <c r="V130" s="14" t="n"/>
      <c r="W130" s="14" t="n"/>
      <c r="X130" s="12">
        <f>COUNTA(C130:W130)</f>
        <v/>
      </c>
    </row>
    <row r="131">
      <c r="A131" s="12" t="inlineStr">
        <is>
          <t>URB-15</t>
        </is>
      </c>
      <c r="B131" s="12" t="inlineStr">
        <is>
          <t>Véhicule venant d'en face qui empiète sur la voie</t>
        </is>
      </c>
      <c r="C131" s="14" t="n"/>
      <c r="D131" s="14" t="n"/>
      <c r="E131" s="14" t="n"/>
      <c r="F131" s="14" t="n"/>
      <c r="G131" s="14" t="n"/>
      <c r="H131" s="14" t="n"/>
      <c r="I131" s="14" t="n"/>
      <c r="J131" s="14" t="n"/>
      <c r="K131" s="15" t="inlineStr">
        <is>
          <t>2</t>
        </is>
      </c>
      <c r="L131" s="14" t="n"/>
      <c r="M131" s="14" t="n"/>
      <c r="N131" s="14" t="n"/>
      <c r="O131" s="14" t="n"/>
      <c r="P131" s="14" t="n"/>
      <c r="Q131" s="14" t="n"/>
      <c r="R131" s="15" t="inlineStr">
        <is>
          <t>2</t>
        </is>
      </c>
      <c r="S131" s="14" t="n"/>
      <c r="T131" s="14" t="n"/>
      <c r="U131" s="14" t="n"/>
      <c r="V131" s="14" t="n"/>
      <c r="W131" s="14" t="n"/>
      <c r="X131" s="12">
        <f>COUNTA(C131:W131)</f>
        <v/>
      </c>
    </row>
    <row r="132">
      <c r="A132" s="12" t="inlineStr">
        <is>
          <t>URB-16</t>
        </is>
      </c>
      <c r="B132" s="12" t="inlineStr">
        <is>
          <t>Véhicule qui tourne devant le SDT et ralentit</t>
        </is>
      </c>
      <c r="C132" s="14" t="n"/>
      <c r="D132" s="14" t="n"/>
      <c r="E132" s="14" t="n"/>
      <c r="F132" s="14" t="n"/>
      <c r="G132" s="14" t="n"/>
      <c r="H132" s="14" t="n"/>
      <c r="I132" s="14" t="n"/>
      <c r="J132" s="14" t="n"/>
      <c r="K132" s="14" t="n"/>
      <c r="L132" s="13" t="inlineStr">
        <is>
          <t>K</t>
        </is>
      </c>
      <c r="M132" s="14" t="n"/>
      <c r="N132" s="14" t="n"/>
      <c r="O132" s="14" t="n"/>
      <c r="P132" s="14" t="n"/>
      <c r="Q132" s="14" t="n"/>
      <c r="R132" s="14" t="n"/>
      <c r="S132" s="14" t="n"/>
      <c r="T132" s="14" t="n"/>
      <c r="U132" s="14" t="n"/>
      <c r="V132" s="14" t="n"/>
      <c r="W132" s="14" t="n"/>
      <c r="X132" s="12">
        <f>COUNTA(C132:W132)</f>
        <v/>
      </c>
    </row>
    <row r="133">
      <c r="A133" s="9" t="inlineStr">
        <is>
          <t>HUB · Situations de hub (cour, quai, zones partagées)</t>
        </is>
      </c>
      <c r="B133" s="10"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0" t="n"/>
    </row>
    <row r="134">
      <c r="A134" s="12" t="inlineStr">
        <is>
          <t>HUB-01</t>
        </is>
      </c>
      <c r="B134" s="12" t="inlineStr">
        <is>
          <t>Tracteur de cour qui croise le trajet</t>
        </is>
      </c>
      <c r="C134" s="14" t="n"/>
      <c r="D134" s="14" t="n"/>
      <c r="E134" s="14" t="n"/>
      <c r="F134" s="14" t="n"/>
      <c r="G134" s="14" t="n"/>
      <c r="H134" s="14" t="n"/>
      <c r="I134" s="14" t="n"/>
      <c r="J134" s="14" t="n"/>
      <c r="K134" s="14" t="n"/>
      <c r="L134" s="14" t="n"/>
      <c r="M134" s="14" t="n"/>
      <c r="N134" s="14" t="n"/>
      <c r="O134" s="14" t="n"/>
      <c r="P134" s="14" t="n"/>
      <c r="Q134" s="14" t="n"/>
      <c r="R134" s="14" t="n"/>
      <c r="S134" s="15" t="inlineStr">
        <is>
          <t>2</t>
        </is>
      </c>
      <c r="T134" s="14" t="n"/>
      <c r="U134" s="14" t="n"/>
      <c r="V134" s="15" t="inlineStr">
        <is>
          <t>2</t>
        </is>
      </c>
      <c r="W134" s="14" t="n"/>
      <c r="X134" s="12">
        <f>COUNTA(C134:W134)</f>
        <v/>
      </c>
    </row>
    <row r="135">
      <c r="A135" s="12" t="inlineStr">
        <is>
          <t>HUB-02</t>
        </is>
      </c>
      <c r="B135" s="12" t="inlineStr">
        <is>
          <t>Piéton travaillant dans la cour</t>
        </is>
      </c>
      <c r="C135" s="14" t="n"/>
      <c r="D135" s="14" t="n"/>
      <c r="E135" s="14" t="n"/>
      <c r="F135" s="14" t="n"/>
      <c r="G135" s="14" t="n"/>
      <c r="H135" s="14" t="n"/>
      <c r="I135" s="14" t="n"/>
      <c r="J135" s="14" t="n"/>
      <c r="K135" s="14" t="n"/>
      <c r="L135" s="14" t="n"/>
      <c r="M135" s="14" t="n"/>
      <c r="N135" s="14" t="n"/>
      <c r="O135" s="14" t="n"/>
      <c r="P135" s="14" t="n"/>
      <c r="Q135" s="14" t="n"/>
      <c r="R135" s="14" t="n"/>
      <c r="S135" s="15" t="inlineStr">
        <is>
          <t>2</t>
        </is>
      </c>
      <c r="T135" s="14" t="n"/>
      <c r="U135" s="14" t="n"/>
      <c r="V135" s="15" t="inlineStr">
        <is>
          <t>2</t>
        </is>
      </c>
      <c r="W135" s="15" t="inlineStr">
        <is>
          <t>2</t>
        </is>
      </c>
      <c r="X135" s="12">
        <f>COUNTA(C135:W135)</f>
        <v/>
      </c>
    </row>
    <row r="136">
      <c r="A136" s="12" t="inlineStr">
        <is>
          <t>HUB-03</t>
        </is>
      </c>
      <c r="B136" s="12" t="inlineStr">
        <is>
          <t>Mise à quai en marche arrière avec obstacle</t>
        </is>
      </c>
      <c r="C136" s="14" t="n"/>
      <c r="D136" s="14" t="n"/>
      <c r="E136" s="14" t="n"/>
      <c r="F136" s="14" t="n"/>
      <c r="G136" s="14" t="n"/>
      <c r="H136" s="14" t="n"/>
      <c r="I136" s="14" t="n"/>
      <c r="J136" s="14" t="n"/>
      <c r="K136" s="14" t="n"/>
      <c r="L136" s="14" t="n"/>
      <c r="M136" s="14" t="n"/>
      <c r="N136" s="14" t="n"/>
      <c r="O136" s="14" t="n"/>
      <c r="P136" s="14" t="n"/>
      <c r="Q136" s="14" t="n"/>
      <c r="R136" s="14" t="n"/>
      <c r="S136" s="14" t="n"/>
      <c r="T136" s="15" t="inlineStr">
        <is>
          <t>2</t>
        </is>
      </c>
      <c r="U136" s="14" t="n"/>
      <c r="V136" s="14" t="n"/>
      <c r="W136" s="14" t="n"/>
      <c r="X136" s="12">
        <f>COUNTA(C136:W136)</f>
        <v/>
      </c>
    </row>
    <row r="137">
      <c r="A137" s="12" t="inlineStr">
        <is>
          <t>HUB-04</t>
        </is>
      </c>
      <c r="B137" s="12" t="inlineStr">
        <is>
          <t>Désalignement au quai</t>
        </is>
      </c>
      <c r="C137" s="14" t="n"/>
      <c r="D137" s="14" t="n"/>
      <c r="E137" s="14" t="n"/>
      <c r="F137" s="14" t="n"/>
      <c r="G137" s="14" t="n"/>
      <c r="H137" s="14" t="n"/>
      <c r="I137" s="14" t="n"/>
      <c r="J137" s="14" t="n"/>
      <c r="K137" s="14" t="n"/>
      <c r="L137" s="14" t="n"/>
      <c r="M137" s="14" t="n"/>
      <c r="N137" s="14" t="n"/>
      <c r="O137" s="14" t="n"/>
      <c r="P137" s="14" t="n"/>
      <c r="Q137" s="14" t="n"/>
      <c r="R137" s="14" t="n"/>
      <c r="S137" s="14" t="n"/>
      <c r="T137" s="15" t="inlineStr">
        <is>
          <t>2</t>
        </is>
      </c>
      <c r="U137" s="14" t="n"/>
      <c r="V137" s="14" t="n"/>
      <c r="W137" s="14" t="n"/>
      <c r="X137" s="12">
        <f>COUNTA(C137:W137)</f>
        <v/>
      </c>
    </row>
    <row r="138">
      <c r="A138" s="12" t="inlineStr">
        <is>
          <t>HUB-05</t>
        </is>
      </c>
      <c r="B138" s="12" t="inlineStr">
        <is>
          <t>Départ du quai avec trafic transversal</t>
        </is>
      </c>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5" t="inlineStr">
        <is>
          <t>2</t>
        </is>
      </c>
      <c r="V138" s="14" t="n"/>
      <c r="W138" s="14" t="n"/>
      <c r="X138" s="12">
        <f>COUNTA(C138:W138)</f>
        <v/>
      </c>
    </row>
    <row r="139">
      <c r="A139" s="12" t="inlineStr">
        <is>
          <t>HUB-06</t>
        </is>
      </c>
      <c r="B139" s="12" t="inlineStr">
        <is>
          <t>Remorque garée qui empiète sur l'allée</t>
        </is>
      </c>
      <c r="C139" s="14" t="n"/>
      <c r="D139" s="14" t="n"/>
      <c r="E139" s="14" t="n"/>
      <c r="F139" s="14" t="n"/>
      <c r="G139" s="14" t="n"/>
      <c r="H139" s="14" t="n"/>
      <c r="I139" s="14" t="n"/>
      <c r="J139" s="14" t="n"/>
      <c r="K139" s="14" t="n"/>
      <c r="L139" s="14" t="n"/>
      <c r="M139" s="14" t="n"/>
      <c r="N139" s="14" t="n"/>
      <c r="O139" s="14" t="n"/>
      <c r="P139" s="14" t="n"/>
      <c r="Q139" s="14" t="n"/>
      <c r="R139" s="14" t="n"/>
      <c r="S139" s="15" t="inlineStr">
        <is>
          <t>2</t>
        </is>
      </c>
      <c r="T139" s="14" t="n"/>
      <c r="U139" s="14" t="n"/>
      <c r="V139" s="15" t="inlineStr">
        <is>
          <t>2</t>
        </is>
      </c>
      <c r="W139" s="14" t="n"/>
      <c r="X139" s="12">
        <f>COUNTA(C139:W139)</f>
        <v/>
      </c>
    </row>
    <row r="140">
      <c r="A140" s="12" t="inlineStr">
        <is>
          <t>HUB-07</t>
        </is>
      </c>
      <c r="B140" s="12" t="inlineStr">
        <is>
          <t>Chariot élévateur qui croise</t>
        </is>
      </c>
      <c r="C140" s="14" t="n"/>
      <c r="D140" s="14" t="n"/>
      <c r="E140" s="14" t="n"/>
      <c r="F140" s="14" t="n"/>
      <c r="G140" s="14" t="n"/>
      <c r="H140" s="14" t="n"/>
      <c r="I140" s="14" t="n"/>
      <c r="J140" s="14" t="n"/>
      <c r="K140" s="14" t="n"/>
      <c r="L140" s="14" t="n"/>
      <c r="M140" s="14" t="n"/>
      <c r="N140" s="14" t="n"/>
      <c r="O140" s="14" t="n"/>
      <c r="P140" s="14" t="n"/>
      <c r="Q140" s="14" t="n"/>
      <c r="R140" s="14" t="n"/>
      <c r="S140" s="15" t="inlineStr">
        <is>
          <t>2</t>
        </is>
      </c>
      <c r="T140" s="14" t="n"/>
      <c r="U140" s="14" t="n"/>
      <c r="V140" s="15" t="inlineStr">
        <is>
          <t>2</t>
        </is>
      </c>
      <c r="W140" s="15" t="inlineStr">
        <is>
          <t>2</t>
        </is>
      </c>
      <c r="X140" s="12">
        <f>COUNTA(C140:W140)</f>
        <v/>
      </c>
    </row>
    <row r="141">
      <c r="A141" s="12" t="inlineStr">
        <is>
          <t>HUB-08</t>
        </is>
      </c>
      <c r="B141" s="12" t="inlineStr">
        <is>
          <t>File d'attente au portail de sortie</t>
        </is>
      </c>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5" t="inlineStr">
        <is>
          <t>2</t>
        </is>
      </c>
      <c r="V141" s="14" t="n"/>
      <c r="W141" s="14" t="n"/>
      <c r="X141" s="12">
        <f>COUNTA(C141:W141)</f>
        <v/>
      </c>
    </row>
    <row r="142">
      <c r="A142" s="12" t="inlineStr">
        <is>
          <t>HUB-09</t>
        </is>
      </c>
      <c r="B142" s="12" t="inlineStr">
        <is>
          <t>Virage serré dans la cour</t>
        </is>
      </c>
      <c r="C142" s="14" t="n"/>
      <c r="D142" s="14" t="n"/>
      <c r="E142" s="14" t="n"/>
      <c r="F142" s="14" t="n"/>
      <c r="G142" s="14" t="n"/>
      <c r="H142" s="14" t="n"/>
      <c r="I142" s="14" t="n"/>
      <c r="J142" s="14" t="n"/>
      <c r="K142" s="14" t="n"/>
      <c r="L142" s="14" t="n"/>
      <c r="M142" s="14" t="n"/>
      <c r="N142" s="14" t="n"/>
      <c r="O142" s="14" t="n"/>
      <c r="P142" s="14" t="n"/>
      <c r="Q142" s="14" t="n"/>
      <c r="R142" s="14" t="n"/>
      <c r="S142" s="15" t="inlineStr">
        <is>
          <t>2</t>
        </is>
      </c>
      <c r="T142" s="14" t="n"/>
      <c r="U142" s="14" t="n"/>
      <c r="V142" s="14" t="n"/>
      <c r="W142" s="14" t="n"/>
      <c r="X142" s="12">
        <f>COUNTA(C142:W142)</f>
        <v/>
      </c>
    </row>
    <row r="143">
      <c r="B143" s="7" t="inlineStr">
        <is>
          <t>Abstracts par behavior</t>
        </is>
      </c>
      <c r="C143" s="7">
        <f>COUNTA(C5:C142)</f>
        <v/>
      </c>
      <c r="D143" s="7">
        <f>COUNTA(D5:D142)</f>
        <v/>
      </c>
      <c r="E143" s="7">
        <f>COUNTA(E5:E142)</f>
        <v/>
      </c>
      <c r="F143" s="7">
        <f>COUNTA(F5:F142)</f>
        <v/>
      </c>
      <c r="G143" s="7">
        <f>COUNTA(G5:G142)</f>
        <v/>
      </c>
      <c r="H143" s="7">
        <f>COUNTA(H5:H142)</f>
        <v/>
      </c>
      <c r="I143" s="7">
        <f>COUNTA(I5:I142)</f>
        <v/>
      </c>
      <c r="J143" s="7">
        <f>COUNTA(J5:J142)</f>
        <v/>
      </c>
      <c r="K143" s="7">
        <f>COUNTA(K5:K142)</f>
        <v/>
      </c>
      <c r="L143" s="7">
        <f>COUNTA(L5:L142)</f>
        <v/>
      </c>
      <c r="M143" s="7">
        <f>COUNTA(M5:M142)</f>
        <v/>
      </c>
      <c r="N143" s="7">
        <f>COUNTA(N5:N142)</f>
        <v/>
      </c>
      <c r="O143" s="7">
        <f>COUNTA(O5:O142)</f>
        <v/>
      </c>
      <c r="P143" s="7">
        <f>COUNTA(P5:P142)</f>
        <v/>
      </c>
      <c r="Q143" s="7">
        <f>COUNTA(Q5:Q142)</f>
        <v/>
      </c>
      <c r="R143" s="7">
        <f>COUNTA(R5:R142)</f>
        <v/>
      </c>
      <c r="S143" s="7">
        <f>COUNTA(S5:S142)</f>
        <v/>
      </c>
      <c r="T143" s="7">
        <f>COUNTA(T5:T142)</f>
        <v/>
      </c>
      <c r="U143" s="7">
        <f>COUNTA(U5:U142)</f>
        <v/>
      </c>
      <c r="V143" s="7">
        <f>COUNTA(V5:V142)</f>
        <v/>
      </c>
      <c r="W143" s="7">
        <f>COUNTA(W5:W142)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4" customWidth="1" min="3" max="3"/>
    <col width="10" customWidth="1" min="4" max="4"/>
    <col width="30" customWidth="1" min="5" max="5"/>
    <col width="16" customWidth="1" min="6" max="6"/>
    <col width="18" customWidth="1" min="7" max="7"/>
    <col width="10" customWidth="1" min="8" max="8"/>
    <col width="10" customWidth="1" min="9" max="9"/>
    <col width="12" customWidth="1" min="10" max="10"/>
    <col width="100" customWidth="1" min="11" max="11"/>
  </cols>
  <sheetData>
    <row r="1">
      <c r="A1" s="1" t="inlineStr">
        <is>
          <t>Behaviors (Behavior Table Jama) et leur catalogue</t>
        </is>
      </c>
    </row>
    <row r="2">
      <c r="A2" s="2" t="inlineStr">
        <is>
          <t>Définition Jama : export « Driver Out 2026 SDT Requirements » du 26/03/2026 (Highway seulement).</t>
        </is>
      </c>
    </row>
    <row r="4">
      <c r="A4" s="5" t="inlineStr">
        <is>
          <t>Code</t>
        </is>
      </c>
      <c r="B4" s="5" t="inlineStr">
        <is>
          <t>Use case</t>
        </is>
      </c>
      <c r="C4" s="5" t="inlineStr">
        <is>
          <t>Behavior</t>
        </is>
      </c>
      <c r="D4" s="5" t="inlineStr">
        <is>
          <t>DDT / DDT-F</t>
        </is>
      </c>
      <c r="E4" s="5" t="inlineStr">
        <is>
          <t>Catégories</t>
        </is>
      </c>
      <c r="F4" s="5" t="inlineStr">
        <is>
          <t>Intention du SDT</t>
        </is>
      </c>
      <c r="G4" s="5" t="inlineStr">
        <is>
          <t>Définition Jama</t>
        </is>
      </c>
      <c r="H4" s="5" t="inlineStr">
        <is>
          <t>Statut Jama</t>
        </is>
      </c>
      <c r="I4" s="5" t="inlineStr">
        <is>
          <t>Nb abstracts</t>
        </is>
      </c>
      <c r="J4" s="5" t="inlineStr">
        <is>
          <t>Concrets retenus</t>
        </is>
      </c>
      <c r="K4" s="5" t="inlineStr">
        <is>
          <t>Texte de la définition</t>
        </is>
      </c>
    </row>
    <row r="5">
      <c r="A5" s="6" t="inlineStr">
        <is>
          <t>HW-CRU</t>
        </is>
      </c>
      <c r="B5" s="6" t="inlineStr">
        <is>
          <t>Highway</t>
        </is>
      </c>
      <c r="C5" s="6" t="inlineStr">
        <is>
          <t>Lane-Centered Cruise</t>
        </is>
      </c>
      <c r="D5" s="6" t="inlineStr">
        <is>
          <t>DDT</t>
        </is>
      </c>
      <c r="E5" s="6" t="inlineStr">
        <is>
          <t>Safety, Traffic compliance</t>
        </is>
      </c>
      <c r="F5" s="6" t="inlineStr">
        <is>
          <t>keep_lane</t>
        </is>
      </c>
      <c r="G5" s="6" t="inlineStr">
        <is>
          <t>TORC-SYSRQ-10155</t>
        </is>
      </c>
      <c r="H5" s="6" t="inlineStr">
        <is>
          <t>Review</t>
        </is>
      </c>
      <c r="I5" s="6">
        <f>Matrice!C143</f>
        <v/>
      </c>
      <c r="J5" s="6" t="n">
        <v>6480</v>
      </c>
      <c r="K5" s="6" t="inlineStr">
        <is>
          <t>Maintain steady longitudinal speed and lateral position within the current lane on a highway when no immediate interaction, routing, or tactical maneuver is required. This is the default steady-state driving behavior.
Intent
Maintain progress while complying with traffic rules and ensuring dynamic stability.
Entry Condition
SDT is in robotic mode.
SDT is on a highway lane segment with valid lane geometry. SDT is driving in a lane with visible lane markings on both sides of the SDT.
Interior lane width is greater than or equal to 3.5 m.
Minimum horizontal radius of curvature is 450 m.
No lead vehicle requiring active following behavior within engagement distance.
No mandatory routing event (exit, merge, lane drop) within the planning horizon.
No higher-priority interaction or fallback behavior is active.
Exit Condition
A lead vehicle enters the following engagement range.
A mandatory or discretionary lane change becomes active.
An on-ramp merge, off-ramp exit, or hazard requires behavior transition.
System health degradation requires fallback (includes unclear lane marking/ low confidence in Lane marking perception).
Out of ODD conditions.</t>
        </is>
      </c>
    </row>
    <row r="6">
      <c r="A6" s="6" t="inlineStr">
        <is>
          <t>HW-FOL</t>
        </is>
      </c>
      <c r="B6" s="6" t="inlineStr">
        <is>
          <t>Highway</t>
        </is>
      </c>
      <c r="C6" s="6" t="inlineStr">
        <is>
          <t>Lane-Centered Adaptive Follow</t>
        </is>
      </c>
      <c r="D6" s="6" t="inlineStr">
        <is>
          <t>DDT</t>
        </is>
      </c>
      <c r="E6" s="6" t="inlineStr">
        <is>
          <t>Safety, Efficiency</t>
        </is>
      </c>
      <c r="F6" s="6" t="inlineStr">
        <is>
          <t>keep_lane</t>
        </is>
      </c>
      <c r="G6" s="6" t="inlineStr">
        <is>
          <t>TORC-SYSRQ-14122</t>
        </is>
      </c>
      <c r="H6" s="6" t="inlineStr">
        <is>
          <t>Draft</t>
        </is>
      </c>
      <c r="I6" s="6">
        <f>Matrice!D143</f>
        <v/>
      </c>
      <c r="J6" s="6" t="n">
        <v>7422</v>
      </c>
      <c r="K6" s="6" t="inlineStr">
        <is>
          <t>Description
Regulate longitudinal motion to maintain a safe, comfortable, and legally compliant distance behind a lead vehicle traveling in the same lane.
Intent
Reduce collision risk while maintaining reasonable traffic flow and compliance with following-distance expectations.
Entry Condition
A lead vehicle is detected and tracked in the ego lane with sufficient confidence.
Headway or distance falls below the cruise disengagement threshold.
Ego vehicle remains lane-aligned with the lead vehicle.
Exit Condition
Lead vehicle exits the lane or exceeds disengagement distance.
Ego initiates a lane change or overtake.
Route event or merge/exit behavior becomes active.
Tracking confidence drops below acceptable threshold.</t>
        </is>
      </c>
    </row>
    <row r="7">
      <c r="A7" s="6" t="inlineStr">
        <is>
          <t>HW-LC</t>
        </is>
      </c>
      <c r="B7" s="6" t="inlineStr">
        <is>
          <t>Highway</t>
        </is>
      </c>
      <c r="C7" s="6" t="inlineStr">
        <is>
          <t>Lane Changes / Overtaking</t>
        </is>
      </c>
      <c r="D7" s="6" t="inlineStr">
        <is>
          <t>DDT</t>
        </is>
      </c>
      <c r="E7" s="6" t="inlineStr">
        <is>
          <t>Safety, Traffic compliance, Efficiency, Courtesy</t>
        </is>
      </c>
      <c r="F7" s="6" t="inlineStr">
        <is>
          <t>lane_change</t>
        </is>
      </c>
      <c r="G7" s="6" t="inlineStr">
        <is>
          <t>TORC-SYSRQ-14123</t>
        </is>
      </c>
      <c r="H7" s="6" t="inlineStr">
        <is>
          <t>Draft</t>
        </is>
      </c>
      <c r="I7" s="6">
        <f>Matrice!E143</f>
        <v/>
      </c>
      <c r="J7" s="6" t="n">
        <v>8650</v>
      </c>
      <c r="K7" s="6" t="inlineStr">
        <is>
          <t xml:space="preserve">Description
Transition laterally to an adjacent lane to improve progress or satisfy routing requirements, including gap assessment, signaling, execution, and stabilization.
Intent
Improve progress or satisfy route constraints while maintaining safety, legality, and predictability.
Entry Condition
Adjacent lane exists and lane change is permitted.
Discretionary trigger: lead vehicle significantly slower than desired speed.
Mandatory trigger: lane drop, exit preparation, or obstacle ahead.
Adjacent-lane traffic is sufficiently observable for gap assessment.
Exit Condition
Ego vehicle is fully established and stable in the target lane.
Lane change is safely aborted and ego remains in original lane.
Behavior transitions into adaptive follow or lane-centered cruise.
 </t>
        </is>
      </c>
    </row>
    <row r="8">
      <c r="A8" s="6" t="inlineStr">
        <is>
          <t>HW-ONR</t>
        </is>
      </c>
      <c r="B8" s="6" t="inlineStr">
        <is>
          <t>Highway</t>
        </is>
      </c>
      <c r="C8" s="6" t="inlineStr">
        <is>
          <t>On-Ramp Merge</t>
        </is>
      </c>
      <c r="D8" s="6" t="inlineStr">
        <is>
          <t>DDT</t>
        </is>
      </c>
      <c r="E8" s="6" t="inlineStr">
        <is>
          <t>Safety, Traffic compliance, Efficiency, Courtesy</t>
        </is>
      </c>
      <c r="F8" s="6" t="inlineStr">
        <is>
          <t>lane_change</t>
        </is>
      </c>
      <c r="G8" s="6" t="inlineStr">
        <is>
          <t>TORC-SYSRQ-14124</t>
        </is>
      </c>
      <c r="H8" s="6" t="inlineStr">
        <is>
          <t>Draft</t>
        </is>
      </c>
      <c r="I8" s="6">
        <f>Matrice!F143</f>
        <v/>
      </c>
      <c r="J8" s="6" t="n">
        <v>3296</v>
      </c>
      <c r="K8" s="6" t="inlineStr">
        <is>
          <t>Description
Enter highway mainline traffic from an on-ramp by identifying a suitable gap, adjusting speed accordingly, and merging laterally within the merge zone.
Intent
Join the highway flow safely, legally and efficiently while minimizing disruption to mainline traffic.
Entry Condition
Ego vehicle is on an on-ramp approaching a merge area.
Mainline traffic is detected and tracked with sufficient confidence.
Route requires highway entry.
Ego vehicle is capable of reaching the entry ramp lane within safe bounds.
Exit Condition
Ego vehicle is fully merged and stabilized in the mainline lane (transitions to Lane-Centered Cruise or Adaptive Follow).
Merge is aborted and ego vehicle reaches desired safe state (stops or holds at end of acceleration lane or pulls over to the should if shoulder available).
Emergency maneuver is triggered.</t>
        </is>
      </c>
    </row>
    <row r="9">
      <c r="A9" s="6" t="inlineStr">
        <is>
          <t>HW-OFR</t>
        </is>
      </c>
      <c r="B9" s="6" t="inlineStr">
        <is>
          <t>Highway</t>
        </is>
      </c>
      <c r="C9" s="6" t="inlineStr">
        <is>
          <t>Off-Ramp Exit</t>
        </is>
      </c>
      <c r="D9" s="6" t="inlineStr">
        <is>
          <t>DDT</t>
        </is>
      </c>
      <c r="E9" s="6" t="inlineStr">
        <is>
          <t>Safety, Courtesy</t>
        </is>
      </c>
      <c r="F9" s="6" t="inlineStr">
        <is>
          <t>lane_change</t>
        </is>
      </c>
      <c r="G9" s="6" t="inlineStr">
        <is>
          <t>TORC-SYSRQ-14125</t>
        </is>
      </c>
      <c r="H9" s="6" t="inlineStr">
        <is>
          <t>Draft</t>
        </is>
      </c>
      <c r="I9" s="6">
        <f>Matrice!G143</f>
        <v/>
      </c>
      <c r="J9" s="6" t="n">
        <v>588</v>
      </c>
      <c r="K9" s="6" t="inlineStr">
        <is>
          <t>Description
Navigate the ego vehicle from the mainline highway lane into an off-ramp exit lane, following the planned route and executing the lateral transition within the designated exit zone.
Intent
Exit the highway safely and predictably, maintaining compliance with lane geometry and speed limits.
Entry Condition
Route plan requires the next off-ramp exit.
Ego vehicle is within the pre-exit planning horizon.
Off-ramp entry geometry is detected and confirmed.
Ego vehicle is capable of reaching the exit lane within safe bounds.
Exit Condition
Ego vehicle is fully positioned in the off-ramp lane and decelerating (behavior transitions to urban or surface street behavior).
Exit is missed and a re-route is required.
Emergency maneuver preempts the exit.</t>
        </is>
      </c>
    </row>
    <row r="10">
      <c r="A10" s="6" t="inlineStr">
        <is>
          <t>HW-CSS</t>
        </is>
      </c>
      <c r="B10" s="6" t="inlineStr">
        <is>
          <t>Highway</t>
        </is>
      </c>
      <c r="C10" s="6" t="inlineStr">
        <is>
          <t>Controlled Stop on Shoulder</t>
        </is>
      </c>
      <c r="D10" s="6" t="inlineStr">
        <is>
          <t>DDT-F</t>
        </is>
      </c>
      <c r="E10" s="6" t="inlineStr">
        <is>
          <t>Safety, Traffic compliance</t>
        </is>
      </c>
      <c r="F10" s="6" t="inlineStr">
        <is>
          <t>stop_on_shoulder</t>
        </is>
      </c>
      <c r="G10" s="6" t="inlineStr">
        <is>
          <t>TORC-SYSRQ-14127</t>
        </is>
      </c>
      <c r="H10" s="6" t="inlineStr">
        <is>
          <t>Draft</t>
        </is>
      </c>
      <c r="I10" s="6">
        <f>Matrice!H143</f>
        <v/>
      </c>
      <c r="J10" s="6" t="n">
        <v>932</v>
      </c>
      <c r="K10" s="6" t="inlineStr">
        <is>
          <t>Description
Execute a controlled, deliberate deceleration and lateral transition to bring the ego vehicle to a stop on the highway shoulder or emergency stopping lane, in response to a planned or reactive need to exit the travel lane safely.
Intent
Bring the vehicle to a safe, stable stop outside the travel lane with minimal risk to occupants and other road users.
Entry Condition
A DDT-F condition or planned stop event requires the ego to exit the travel lane.
A shoulder or emergency stopping area is available and geometrically valid.
No higher-priority emergency maneuver is active.
Exit Condition
Shoulder or emergency stopping area is blocked or unavailable.
Ego vehicle resumes travel lane behavior after stopping related condition is cleared.
Another emergency maneuver overrides the controlled stop.</t>
        </is>
      </c>
    </row>
    <row r="11">
      <c r="A11" s="6" t="inlineStr">
        <is>
          <t>HW-ESL</t>
        </is>
      </c>
      <c r="B11" s="6" t="inlineStr">
        <is>
          <t>Highway</t>
        </is>
      </c>
      <c r="C11" s="6" t="inlineStr">
        <is>
          <t>Emergency Stop in Lane</t>
        </is>
      </c>
      <c r="D11" s="6" t="inlineStr">
        <is>
          <t>DDT-F</t>
        </is>
      </c>
      <c r="E11" s="6" t="inlineStr">
        <is>
          <t>Safety</t>
        </is>
      </c>
      <c r="F11" s="6" t="inlineStr">
        <is>
          <t>stop_in_lane</t>
        </is>
      </c>
      <c r="G11" s="6" t="inlineStr">
        <is>
          <t>TORC-SYSRQ-14126</t>
        </is>
      </c>
      <c r="H11" s="6" t="inlineStr">
        <is>
          <t>Review</t>
        </is>
      </c>
      <c r="I11" s="6">
        <f>Matrice!I143</f>
        <v/>
      </c>
      <c r="J11" s="6" t="n">
        <v>872</v>
      </c>
      <c r="K11" s="6" t="inlineStr">
        <is>
          <t xml:space="preserve">Description
Execute an immediate, controlled deceleration to bring the ego vehicle to a stop within its current travel lane in response to a critical failure or imminent hazard that precludes transitioning to Stop on shoulder.
Intent
Bring the vehicle to a safe stop as quickly as practicable while minimizing collision risk.
Entry Condition
A critical DDT-F condition requires an immediate stop and shoulder transition is not possible.
A hazard or system failure precludes continued travel.
Exit Condition
Ego vehicle is stopped in lane with hazard lights active.
Ego vehicle resumes travel lane behavior after stopping related condition is cleared.
Another emergency maneuver overrides the controlled stop.
Emergency services or remote operator intervention is signaled.
Link to Behavior Page: 
https://torc.atlassian.net/wiki/pages/resumedraft.action?draftId=2915696704
 </t>
        </is>
      </c>
    </row>
    <row r="12">
      <c r="A12" s="6" t="inlineStr">
        <is>
          <t>HW-ELM</t>
        </is>
      </c>
      <c r="B12" s="6" t="inlineStr">
        <is>
          <t>Highway</t>
        </is>
      </c>
      <c r="C12" s="6" t="inlineStr">
        <is>
          <t>Emergency Lateral Motion</t>
        </is>
      </c>
      <c r="D12" s="6" t="inlineStr">
        <is>
          <t>DDT-F</t>
        </is>
      </c>
      <c r="E12" s="6" t="inlineStr">
        <is>
          <t>Safety, Traffic compliance</t>
        </is>
      </c>
      <c r="F12" s="6" t="inlineStr">
        <is>
          <t>emergency_lateral</t>
        </is>
      </c>
      <c r="G12" s="6" t="inlineStr"/>
      <c r="H12" s="6" t="inlineStr"/>
      <c r="I12" s="6">
        <f>Matrice!J143</f>
        <v/>
      </c>
      <c r="J12" s="6" t="n">
        <v>368</v>
      </c>
      <c r="K12" s="6" t="inlineStr"/>
    </row>
    <row r="13">
      <c r="A13" s="6" t="inlineStr">
        <is>
          <t>URB-CRU</t>
        </is>
      </c>
      <c r="B13" s="6" t="inlineStr">
        <is>
          <t>Urban</t>
        </is>
      </c>
      <c r="C13" s="6" t="inlineStr">
        <is>
          <t>Lane-Centered Cruise</t>
        </is>
      </c>
      <c r="D13" s="6" t="inlineStr">
        <is>
          <t>DDT</t>
        </is>
      </c>
      <c r="E13" s="6" t="inlineStr">
        <is>
          <t>Safety, Traffic compliance</t>
        </is>
      </c>
      <c r="F13" s="6" t="inlineStr">
        <is>
          <t>keep_lane</t>
        </is>
      </c>
      <c r="G13" s="6" t="inlineStr"/>
      <c r="H13" s="6" t="inlineStr"/>
      <c r="I13" s="6">
        <f>Matrice!K143</f>
        <v/>
      </c>
      <c r="J13" s="6" t="n">
        <v>122</v>
      </c>
      <c r="K13" s="6" t="inlineStr"/>
    </row>
    <row r="14">
      <c r="A14" s="6" t="inlineStr">
        <is>
          <t>URB-FOL</t>
        </is>
      </c>
      <c r="B14" s="6" t="inlineStr">
        <is>
          <t>Urban</t>
        </is>
      </c>
      <c r="C14" s="6" t="inlineStr">
        <is>
          <t>Lane-Centered Adaptive Follow</t>
        </is>
      </c>
      <c r="D14" s="6" t="inlineStr">
        <is>
          <t>DDT</t>
        </is>
      </c>
      <c r="E14" s="6" t="inlineStr">
        <is>
          <t>Safety, Traffic compliance</t>
        </is>
      </c>
      <c r="F14" s="6" t="inlineStr">
        <is>
          <t>keep_lane</t>
        </is>
      </c>
      <c r="G14" s="6" t="inlineStr"/>
      <c r="H14" s="6" t="inlineStr"/>
      <c r="I14" s="6">
        <f>Matrice!L143</f>
        <v/>
      </c>
      <c r="J14" s="6" t="n">
        <v>1040</v>
      </c>
      <c r="K14" s="6" t="inlineStr"/>
    </row>
    <row r="15">
      <c r="A15" s="6" t="inlineStr">
        <is>
          <t>URB-LC</t>
        </is>
      </c>
      <c r="B15" s="6" t="inlineStr">
        <is>
          <t>Urban</t>
        </is>
      </c>
      <c r="C15" s="6" t="inlineStr">
        <is>
          <t>Lane Changes / Overtaking</t>
        </is>
      </c>
      <c r="D15" s="6" t="inlineStr">
        <is>
          <t>DDT</t>
        </is>
      </c>
      <c r="E15" s="6" t="inlineStr">
        <is>
          <t>Safety, Traffic compliance</t>
        </is>
      </c>
      <c r="F15" s="6" t="inlineStr">
        <is>
          <t>lane_change</t>
        </is>
      </c>
      <c r="G15" s="6" t="inlineStr"/>
      <c r="H15" s="6" t="inlineStr"/>
      <c r="I15" s="6">
        <f>Matrice!M143</f>
        <v/>
      </c>
      <c r="J15" s="6" t="n">
        <v>1730</v>
      </c>
      <c r="K15" s="6" t="inlineStr"/>
    </row>
    <row r="16">
      <c r="A16" s="6" t="inlineStr">
        <is>
          <t>URB-XWK</t>
        </is>
      </c>
      <c r="B16" s="6" t="inlineStr">
        <is>
          <t>Urban</t>
        </is>
      </c>
      <c r="C16" s="6" t="inlineStr">
        <is>
          <t>Crosswalk Yield</t>
        </is>
      </c>
      <c r="D16" s="6" t="inlineStr">
        <is>
          <t>DDT</t>
        </is>
      </c>
      <c r="E16" s="6" t="inlineStr">
        <is>
          <t>Safety, Traffic compliance, Courtesy</t>
        </is>
      </c>
      <c r="F16" s="6" t="inlineStr">
        <is>
          <t>keep_lane</t>
        </is>
      </c>
      <c r="G16" s="6" t="inlineStr"/>
      <c r="H16" s="6" t="inlineStr"/>
      <c r="I16" s="6">
        <f>Matrice!N143</f>
        <v/>
      </c>
      <c r="J16" s="6" t="n">
        <v>0</v>
      </c>
      <c r="K16" s="6" t="inlineStr"/>
    </row>
    <row r="17">
      <c r="A17" s="6" t="inlineStr">
        <is>
          <t>URB-TRN</t>
        </is>
      </c>
      <c r="B17" s="6" t="inlineStr">
        <is>
          <t>Urban</t>
        </is>
      </c>
      <c r="C17" s="6" t="inlineStr">
        <is>
          <t>Protected/Unprotected Turn at Intersection</t>
        </is>
      </c>
      <c r="D17" s="6" t="inlineStr">
        <is>
          <t>DDT</t>
        </is>
      </c>
      <c r="E17" s="6" t="inlineStr">
        <is>
          <t>Safety, Traffic compliance, Courtesy</t>
        </is>
      </c>
      <c r="F17" s="6" t="inlineStr">
        <is>
          <t>keep_lane</t>
        </is>
      </c>
      <c r="G17" s="6" t="inlineStr"/>
      <c r="H17" s="6" t="inlineStr"/>
      <c r="I17" s="6">
        <f>Matrice!O143</f>
        <v/>
      </c>
      <c r="J17" s="6" t="n">
        <v>0</v>
      </c>
      <c r="K17" s="6" t="inlineStr"/>
    </row>
    <row r="18">
      <c r="A18" s="6" t="inlineStr">
        <is>
          <t>URB-STR</t>
        </is>
      </c>
      <c r="B18" s="6" t="inlineStr">
        <is>
          <t>Urban</t>
        </is>
      </c>
      <c r="C18" s="6" t="inlineStr">
        <is>
          <t>Going Straight through Protected/Unprotected Intersection</t>
        </is>
      </c>
      <c r="D18" s="6" t="inlineStr">
        <is>
          <t>DDT</t>
        </is>
      </c>
      <c r="E18" s="6" t="inlineStr">
        <is>
          <t>Safety, Traffic compliance, Courtesy</t>
        </is>
      </c>
      <c r="F18" s="6" t="inlineStr">
        <is>
          <t>keep_lane</t>
        </is>
      </c>
      <c r="G18" s="6" t="inlineStr"/>
      <c r="H18" s="6" t="inlineStr"/>
      <c r="I18" s="6">
        <f>Matrice!P143</f>
        <v/>
      </c>
      <c r="J18" s="6" t="n">
        <v>0</v>
      </c>
      <c r="K18" s="6" t="inlineStr"/>
    </row>
    <row r="19">
      <c r="A19" s="6" t="inlineStr">
        <is>
          <t>URB-SIL</t>
        </is>
      </c>
      <c r="B19" s="6" t="inlineStr">
        <is>
          <t>Urban</t>
        </is>
      </c>
      <c r="C19" s="6" t="inlineStr">
        <is>
          <t>Stop in Lane</t>
        </is>
      </c>
      <c r="D19" s="6" t="inlineStr">
        <is>
          <t>DDT / DDT-F</t>
        </is>
      </c>
      <c r="E19" s="6" t="inlineStr">
        <is>
          <t>Safety, Traffic compliance</t>
        </is>
      </c>
      <c r="F19" s="6" t="inlineStr">
        <is>
          <t>stop_in_lane</t>
        </is>
      </c>
      <c r="G19" s="6" t="inlineStr"/>
      <c r="H19" s="6" t="inlineStr"/>
      <c r="I19" s="6">
        <f>Matrice!Q143</f>
        <v/>
      </c>
      <c r="J19" s="6" t="n">
        <v>20</v>
      </c>
      <c r="K19" s="6" t="inlineStr"/>
    </row>
    <row r="20">
      <c r="A20" s="6" t="inlineStr">
        <is>
          <t>URB-ELM</t>
        </is>
      </c>
      <c r="B20" s="6" t="inlineStr">
        <is>
          <t>Urban</t>
        </is>
      </c>
      <c r="C20" s="6" t="inlineStr">
        <is>
          <t>Emergency Lateral Motion</t>
        </is>
      </c>
      <c r="D20" s="6" t="inlineStr">
        <is>
          <t>DDT-F</t>
        </is>
      </c>
      <c r="E20" s="6" t="inlineStr">
        <is>
          <t>Safety, Traffic compliance, Courtesy</t>
        </is>
      </c>
      <c r="F20" s="6" t="inlineStr">
        <is>
          <t>emergency_lateral</t>
        </is>
      </c>
      <c r="G20" s="6" t="inlineStr"/>
      <c r="H20" s="6" t="inlineStr"/>
      <c r="I20" s="6">
        <f>Matrice!R143</f>
        <v/>
      </c>
      <c r="J20" s="6" t="n">
        <v>0</v>
      </c>
      <c r="K20" s="6" t="inlineStr"/>
    </row>
    <row r="21">
      <c r="A21" s="6" t="inlineStr">
        <is>
          <t>HUB-LSD</t>
        </is>
      </c>
      <c r="B21" s="6" t="inlineStr">
        <is>
          <t>Hub</t>
        </is>
      </c>
      <c r="C21" s="6" t="inlineStr">
        <is>
          <t>Low-Speed Driving</t>
        </is>
      </c>
      <c r="D21" s="6" t="inlineStr">
        <is>
          <t>DDT</t>
        </is>
      </c>
      <c r="E21" s="6" t="inlineStr">
        <is>
          <t>Safety, Traffic compliance</t>
        </is>
      </c>
      <c r="F21" s="6" t="inlineStr">
        <is>
          <t>keep_lane</t>
        </is>
      </c>
      <c r="G21" s="6" t="inlineStr"/>
      <c r="H21" s="6" t="inlineStr"/>
      <c r="I21" s="6">
        <f>Matrice!S143</f>
        <v/>
      </c>
      <c r="J21" s="6" t="n">
        <v>0</v>
      </c>
      <c r="K21" s="6" t="inlineStr"/>
    </row>
    <row r="22">
      <c r="A22" s="6" t="inlineStr">
        <is>
          <t>HUB-DCK</t>
        </is>
      </c>
      <c r="B22" s="6" t="inlineStr">
        <is>
          <t>Hub</t>
        </is>
      </c>
      <c r="C22" s="6" t="inlineStr">
        <is>
          <t>Docking / Parking</t>
        </is>
      </c>
      <c r="D22" s="6" t="inlineStr">
        <is>
          <t>DDT</t>
        </is>
      </c>
      <c r="E22" s="6" t="inlineStr">
        <is>
          <t>Safety, Efficiency</t>
        </is>
      </c>
      <c r="F22" s="6" t="inlineStr">
        <is>
          <t>keep_lane</t>
        </is>
      </c>
      <c r="G22" s="6" t="inlineStr"/>
      <c r="H22" s="6" t="inlineStr"/>
      <c r="I22" s="6">
        <f>Matrice!T143</f>
        <v/>
      </c>
      <c r="J22" s="6" t="n">
        <v>0</v>
      </c>
      <c r="K22" s="6" t="inlineStr"/>
    </row>
    <row r="23">
      <c r="A23" s="6" t="inlineStr">
        <is>
          <t>HUB-PUL</t>
        </is>
      </c>
      <c r="B23" s="6" t="inlineStr">
        <is>
          <t>Hub</t>
        </is>
      </c>
      <c r="C23" s="6" t="inlineStr">
        <is>
          <t>Pull-Out / Departure</t>
        </is>
      </c>
      <c r="D23" s="6" t="inlineStr">
        <is>
          <t>DDT</t>
        </is>
      </c>
      <c r="E23" s="6" t="inlineStr">
        <is>
          <t>Safety, Efficiency, Courtesy</t>
        </is>
      </c>
      <c r="F23" s="6" t="inlineStr">
        <is>
          <t>keep_lane</t>
        </is>
      </c>
      <c r="G23" s="6" t="inlineStr"/>
      <c r="H23" s="6" t="inlineStr"/>
      <c r="I23" s="6">
        <f>Matrice!U143</f>
        <v/>
      </c>
      <c r="J23" s="6" t="n">
        <v>0</v>
      </c>
      <c r="K23" s="6" t="inlineStr"/>
    </row>
    <row r="24">
      <c r="A24" s="6" t="inlineStr">
        <is>
          <t>HUB-AVD</t>
        </is>
      </c>
      <c r="B24" s="6" t="inlineStr">
        <is>
          <t>Hub</t>
        </is>
      </c>
      <c r="C24" s="6" t="inlineStr">
        <is>
          <t>Asset Avoidance / Shared-Space Crawl</t>
        </is>
      </c>
      <c r="D24" s="6" t="inlineStr">
        <is>
          <t>DDT</t>
        </is>
      </c>
      <c r="E24" s="6" t="inlineStr">
        <is>
          <t>Safety, Efficiency</t>
        </is>
      </c>
      <c r="F24" s="6" t="inlineStr">
        <is>
          <t>keep_lane</t>
        </is>
      </c>
      <c r="G24" s="6" t="inlineStr"/>
      <c r="H24" s="6" t="inlineStr"/>
      <c r="I24" s="6">
        <f>Matrice!V143</f>
        <v/>
      </c>
      <c r="J24" s="6" t="n">
        <v>0</v>
      </c>
      <c r="K24" s="6" t="inlineStr"/>
    </row>
    <row r="25">
      <c r="A25" s="6" t="inlineStr">
        <is>
          <t>HUB-EST</t>
        </is>
      </c>
      <c r="B25" s="6" t="inlineStr">
        <is>
          <t>Hub</t>
        </is>
      </c>
      <c r="C25" s="6" t="inlineStr">
        <is>
          <t>Emergency Stop</t>
        </is>
      </c>
      <c r="D25" s="6" t="inlineStr">
        <is>
          <t>DDT</t>
        </is>
      </c>
      <c r="E25" s="6" t="inlineStr">
        <is>
          <t>Safety, Traffic compliance, Efficiency</t>
        </is>
      </c>
      <c r="F25" s="6" t="inlineStr">
        <is>
          <t>stop_in_lane</t>
        </is>
      </c>
      <c r="G25" s="6" t="inlineStr"/>
      <c r="H25" s="6" t="inlineStr"/>
      <c r="I25" s="6">
        <f>Matrice!W143</f>
        <v/>
      </c>
      <c r="J25" s="6" t="n">
        <v>0</v>
      </c>
      <c r="K25"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7"/>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9" customWidth="1" min="3" max="3"/>
    <col width="15" customWidth="1" min="4" max="4"/>
    <col width="26" customWidth="1" min="5" max="5"/>
    <col width="48" customWidth="1" min="6" max="6"/>
    <col width="26" customWidth="1" min="7" max="7"/>
    <col width="30" customWidth="1" min="8" max="8"/>
    <col width="9" customWidth="1" min="9" max="9"/>
    <col width="44" customWidth="1" min="10" max="10"/>
    <col width="18" customWidth="1" min="11" max="11"/>
    <col width="30" customWidth="1" min="12" max="12"/>
    <col width="30" customWidth="1" min="13" max="13"/>
  </cols>
  <sheetData>
    <row r="1">
      <c r="A1" s="1" t="inlineStr">
        <is>
          <t>Justification de chaque lien abstract → behavior par le HIRE v2</t>
        </is>
      </c>
    </row>
    <row r="2">
      <c r="A2" s="2" t="inlineStr">
        <is>
          <t>Une ligne par lien. Lignes HIRE : les premières sont celles de la condition ODD de l'abstract, puis les conditions nominales.</t>
        </is>
      </c>
    </row>
    <row r="4">
      <c r="A4" s="5" t="inlineStr">
        <is>
          <t>Abstract</t>
        </is>
      </c>
      <c r="B4" s="5" t="inlineStr">
        <is>
          <t>Titre</t>
        </is>
      </c>
      <c r="C4" s="5" t="inlineStr">
        <is>
          <t>Behavior</t>
        </is>
      </c>
      <c r="D4" s="5" t="inlineStr">
        <is>
          <t>Niveau</t>
        </is>
      </c>
      <c r="E4" s="5" t="inlineStr">
        <is>
          <t>Origine du lien</t>
        </is>
      </c>
      <c r="F4" s="5" t="inlineStr">
        <is>
          <t>Pourquoi</t>
        </is>
      </c>
      <c r="G4" s="5" t="inlineStr">
        <is>
          <t>Hazards</t>
        </is>
      </c>
      <c r="H4" s="5" t="inlineStr">
        <is>
          <t>Commandes sollicitées</t>
        </is>
      </c>
      <c r="I4" s="5" t="inlineStr">
        <is>
          <t>Nb lignes HIRE</t>
        </is>
      </c>
      <c r="J4" s="5" t="inlineStr">
        <is>
          <t>Lignes HIRE v2 (10 premières)</t>
        </is>
      </c>
      <c r="K4" s="5" t="inlineStr">
        <is>
          <t>HFS</t>
        </is>
      </c>
      <c r="L4" s="5" t="inlineStr">
        <is>
          <t>Condition ODD dans le HIRE</t>
        </is>
      </c>
      <c r="M4" s="5" t="inlineStr">
        <is>
          <t>Condition ODD absente du HIRE</t>
        </is>
      </c>
    </row>
    <row r="5">
      <c r="A5" s="6" t="inlineStr">
        <is>
          <t>LV-01</t>
        </is>
      </c>
      <c r="B5" s="6" t="inlineStr">
        <is>
          <t>Route libre, aucun leader</t>
        </is>
      </c>
      <c r="C5" s="6" t="inlineStr">
        <is>
          <t>HW-CRU</t>
        </is>
      </c>
      <c r="D5" s="16" t="inlineStr">
        <is>
          <t>justifié</t>
        </is>
      </c>
      <c r="E5" s="6" t="inlineStr">
        <is>
          <t>catalogue SERYTI</t>
        </is>
      </c>
      <c r="F5" s="6" t="inlineStr">
        <is>
          <t>Le HIRE de HW-CRU relie une déviation de commande sollicitée par la scène (Steering command) au hazard de l'abstract (H1, H5)</t>
        </is>
      </c>
      <c r="G5" s="6" t="inlineStr">
        <is>
          <t>H1 Side collision, H5 Loss of stability / control</t>
        </is>
      </c>
      <c r="H5" s="6" t="inlineStr">
        <is>
          <t>Steering command</t>
        </is>
      </c>
      <c r="I5" s="6" t="n">
        <v>40</v>
      </c>
      <c r="J5" s="6" t="inlineStr">
        <is>
          <t>HW_ Lane-Centered Cruise_Excessive Steering_01
HW_ Lane-Centered Cruise_Excessive Steering_02
HW_ Lane-Centered Cruise_Excessive Steering_03
HW_ Lane-Centered Cruise_Excessive Steering_04
HW_ Lane-Centered Cruise_Insufficient Steering_01
HW_ Lane-Centered Cruise_Insufficient Steering_03
HW_ Lane-Centered Cruise_Insufficient Steering_04
HW_ Lane-Centered Cruise_No Steering_01
HW_ Lane-Centered Cruise_No Steering_03
HW_ Lane-Centered Cruise_No Steering_04</t>
        </is>
      </c>
      <c r="K5" s="6" t="inlineStr">
        <is>
          <t>HFS-029, HFS-033</t>
        </is>
      </c>
      <c r="L5" s="6" t="inlineStr"/>
      <c r="M5" s="6" t="inlineStr"/>
    </row>
    <row r="6">
      <c r="A6" s="6" t="inlineStr">
        <is>
          <t>LV-01</t>
        </is>
      </c>
      <c r="B6" s="6" t="inlineStr">
        <is>
          <t>Route libre, aucun leader</t>
        </is>
      </c>
      <c r="C6" s="6" t="inlineStr">
        <is>
          <t>URB-CRU</t>
        </is>
      </c>
      <c r="D6" s="16" t="inlineStr">
        <is>
          <t>justifié</t>
        </is>
      </c>
      <c r="E6" s="6" t="inlineStr">
        <is>
          <t>catalogue SERYTI</t>
        </is>
      </c>
      <c r="F6" s="6" t="inlineStr">
        <is>
          <t>Le HIRE de URB-CRU relie une déviation de commande sollicitée par la scène (Steering command) au hazard de l'abstract (H1, H5)</t>
        </is>
      </c>
      <c r="G6" s="6" t="inlineStr">
        <is>
          <t>H1 Side collision, H5 Loss of stability / control</t>
        </is>
      </c>
      <c r="H6" s="6" t="inlineStr">
        <is>
          <t>Steering command</t>
        </is>
      </c>
      <c r="I6" s="6" t="n">
        <v>20</v>
      </c>
      <c r="J6" s="6" t="inlineStr">
        <is>
          <t>URB_ Lane-Centered Cruise_Excessive Steering_01
URB_ Lane-Centered Cruise_Excessive Steering_02
URB_ Lane-Centered Cruise_Excessive Steering_03
URB_ Lane-Centered Cruise_Excessive Steering_04
URB_ Lane-Centered Cruise_Insufficient Steering_01
URB_ Lane-Centered Cruise_Insufficient Steering_03
URB_ Lane-Centered Cruise_Insufficient Steering_04
URB_ Lane-Centered Cruise_No Steering_01
URB_ Lane-Centered Cruise_No Steering_03
URB_ Lane-Centered Cruise_No Steering_04</t>
        </is>
      </c>
      <c r="K6" s="6" t="inlineStr">
        <is>
          <t>HFS-075, HFS-079</t>
        </is>
      </c>
      <c r="L6" s="6" t="inlineStr"/>
      <c r="M6" s="6" t="inlineStr"/>
    </row>
    <row r="7">
      <c r="A7" s="6" t="inlineStr">
        <is>
          <t>LV-02</t>
        </is>
      </c>
      <c r="B7" s="6" t="inlineStr">
        <is>
          <t>Leader plus lent à vitesse constante</t>
        </is>
      </c>
      <c r="C7" s="6" t="inlineStr">
        <is>
          <t>HW-CRU</t>
        </is>
      </c>
      <c r="D7" s="16" t="inlineStr">
        <is>
          <t>justifié</t>
        </is>
      </c>
      <c r="E7" s="6" t="inlineStr">
        <is>
          <t>catalogue SERYTI</t>
        </is>
      </c>
      <c r="F7" s="6" t="inlineStr">
        <is>
          <t>Le HIRE de HW-CRU relie une déviation de commande sollicitée par la scène (Acceleration command, Deceleration command) au hazard de l'abstract (H2)</t>
        </is>
      </c>
      <c r="G7" s="6" t="inlineStr">
        <is>
          <t>H2 Front collision</t>
        </is>
      </c>
      <c r="H7" s="6" t="inlineStr">
        <is>
          <t>Acceleration command, Deceleration command</t>
        </is>
      </c>
      <c r="I7" s="6" t="n">
        <v>17</v>
      </c>
      <c r="J7" s="6" t="inlineStr">
        <is>
          <t>HW_ Lane-Centered Cruise_Excessive Acceleration_01
HW_ Lane-Centered Cruise_Excessive Acceleration_02
HW_ Lane-Centered Cruise_Excessive Acceleration_04
HW_ Lane-Centered Cruise_Insufficient Deceleration_01
HW_ Lane-Centered Cruise_Insufficient Deceleration_03
HW_ Lane-Centered Cruise_No Deceleration_01
HW_ Lane-Centered Cruise_No Deceleration_04
HW_ Lane-Centered Cruise_Unintended Acceleration_01
HW_ Lane-Centered Cruise_Unintended Acceleration_02
HW_ Lane-Centered Cruise_Unintended Acceleration_04</t>
        </is>
      </c>
      <c r="K7" s="6" t="inlineStr">
        <is>
          <t>HFS-030</t>
        </is>
      </c>
      <c r="L7" s="6" t="inlineStr"/>
      <c r="M7" s="6" t="inlineStr"/>
    </row>
    <row r="8">
      <c r="A8" s="6" t="inlineStr">
        <is>
          <t>LV-02</t>
        </is>
      </c>
      <c r="B8" s="6" t="inlineStr">
        <is>
          <t>Leader plus lent à vitesse constante</t>
        </is>
      </c>
      <c r="C8" s="6" t="inlineStr">
        <is>
          <t>HW-FOL</t>
        </is>
      </c>
      <c r="D8" s="16" t="inlineStr">
        <is>
          <t>justifié</t>
        </is>
      </c>
      <c r="E8" s="6" t="inlineStr">
        <is>
          <t>catalogue SERYTI</t>
        </is>
      </c>
      <c r="F8" s="6" t="inlineStr">
        <is>
          <t>Le HIRE de HW-FOL relie une déviation de commande sollicitée par la scène (Acceleration command, Deceleration command) au hazard de l'abstract (H2)</t>
        </is>
      </c>
      <c r="G8" s="6" t="inlineStr">
        <is>
          <t>H2 Front collision</t>
        </is>
      </c>
      <c r="H8" s="6" t="inlineStr">
        <is>
          <t>Acceleration command, Deceleration command</t>
        </is>
      </c>
      <c r="I8" s="6" t="n">
        <v>24</v>
      </c>
      <c r="J8"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8" s="6" t="inlineStr">
        <is>
          <t>HFS-025</t>
        </is>
      </c>
      <c r="L8" s="6" t="inlineStr"/>
      <c r="M8" s="6" t="inlineStr"/>
    </row>
    <row r="9">
      <c r="A9" s="6" t="inlineStr">
        <is>
          <t>LV-02</t>
        </is>
      </c>
      <c r="B9" s="6" t="inlineStr">
        <is>
          <t>Leader plus lent à vitesse constante</t>
        </is>
      </c>
      <c r="C9" s="6" t="inlineStr">
        <is>
          <t>URB-FOL</t>
        </is>
      </c>
      <c r="D9" s="16" t="inlineStr">
        <is>
          <t>justifié</t>
        </is>
      </c>
      <c r="E9" s="6" t="inlineStr">
        <is>
          <t>catalogue SERYTI</t>
        </is>
      </c>
      <c r="F9" s="6" t="inlineStr">
        <is>
          <t>Le HIRE de URB-FOL relie une déviation de commande sollicitée par la scène (Acceleration command, Deceleration command) au hazard de l'abstract (H2)</t>
        </is>
      </c>
      <c r="G9" s="6" t="inlineStr">
        <is>
          <t>H2 Front collision</t>
        </is>
      </c>
      <c r="H9" s="6" t="inlineStr">
        <is>
          <t>Acceleration command, Deceleration command</t>
        </is>
      </c>
      <c r="I9" s="6" t="n">
        <v>10</v>
      </c>
      <c r="J9" s="6" t="inlineStr">
        <is>
          <t>URB_ Lane-Centered Adaptive Follow_Excessive Acceleration_01
URB_ Lane-Centered Adaptive Follow_Excessive Acceleration_02
URB_ Lane-Centered Adaptive Follow_Excessive Acceleration_04
URB_ Lane-Centered Adaptive Follow_Insufficient Deceleration_01
URB_ Lane-Centered Adaptive Follow_Insufficient Deceleration_03
URB_ Lane-Centered Adaptive Follow_No Deceleration_01
URB_ Lane-Centered Adaptive Follow_No Deceleration_04
URB_ Lane-Centered Adaptive Follow_Unintended Acceleration_01
URB_ Lane-Centered Adaptive Follow_Unintended Acceleration_02
URB_ Lane-Centered Adaptive Follow_Unintended Acceleration_04</t>
        </is>
      </c>
      <c r="K9" s="6" t="inlineStr">
        <is>
          <t>HFS-071</t>
        </is>
      </c>
      <c r="L9" s="6" t="inlineStr"/>
      <c r="M9" s="6" t="inlineStr"/>
    </row>
    <row r="10">
      <c r="A10" s="6" t="inlineStr">
        <is>
          <t>LV-03</t>
        </is>
      </c>
      <c r="B10" s="6" t="inlineStr">
        <is>
          <t>Leader qui décélère modérément</t>
        </is>
      </c>
      <c r="C10" s="6" t="inlineStr">
        <is>
          <t>HW-FOL</t>
        </is>
      </c>
      <c r="D10" s="16" t="inlineStr">
        <is>
          <t>justifié</t>
        </is>
      </c>
      <c r="E10" s="6" t="inlineStr">
        <is>
          <t>catalogue SERYTI</t>
        </is>
      </c>
      <c r="F10" s="6" t="inlineStr">
        <is>
          <t>Le HIRE de HW-FOL relie une déviation de commande sollicitée par la scène (Acceleration command, Deceleration command) au hazard de l'abstract (H2)</t>
        </is>
      </c>
      <c r="G10" s="6" t="inlineStr">
        <is>
          <t>H2 Front collision</t>
        </is>
      </c>
      <c r="H10" s="6" t="inlineStr">
        <is>
          <t>Acceleration command, Brake Lights command, Deceleration command</t>
        </is>
      </c>
      <c r="I10" s="6" t="n">
        <v>24</v>
      </c>
      <c r="J10"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10" s="6" t="inlineStr">
        <is>
          <t>HFS-025</t>
        </is>
      </c>
      <c r="L10" s="6" t="inlineStr"/>
      <c r="M10" s="6" t="inlineStr"/>
    </row>
    <row r="11">
      <c r="A11" s="6" t="inlineStr">
        <is>
          <t>LV-03</t>
        </is>
      </c>
      <c r="B11" s="6" t="inlineStr">
        <is>
          <t>Leader qui décélère modérément</t>
        </is>
      </c>
      <c r="C11" s="6" t="inlineStr">
        <is>
          <t>URB-FOL</t>
        </is>
      </c>
      <c r="D11" s="16" t="inlineStr">
        <is>
          <t>justifié</t>
        </is>
      </c>
      <c r="E11" s="6" t="inlineStr">
        <is>
          <t>catalogue SERYTI</t>
        </is>
      </c>
      <c r="F11" s="6" t="inlineStr">
        <is>
          <t>Le HIRE de URB-FOL relie une déviation de commande sollicitée par la scène (Acceleration command, Deceleration command) au hazard de l'abstract (H2)</t>
        </is>
      </c>
      <c r="G11" s="6" t="inlineStr">
        <is>
          <t>H2 Front collision</t>
        </is>
      </c>
      <c r="H11" s="6" t="inlineStr">
        <is>
          <t>Acceleration command, Brake Lights command, Deceleration command</t>
        </is>
      </c>
      <c r="I11" s="6" t="n">
        <v>10</v>
      </c>
      <c r="J11" s="6" t="inlineStr">
        <is>
          <t>URB_ Lane-Centered Adaptive Follow_Excessive Acceleration_01
URB_ Lane-Centered Adaptive Follow_Excessive Acceleration_02
URB_ Lane-Centered Adaptive Follow_Excessive Acceleration_04
URB_ Lane-Centered Adaptive Follow_Insufficient Deceleration_01
URB_ Lane-Centered Adaptive Follow_Insufficient Deceleration_03
URB_ Lane-Centered Adaptive Follow_No Deceleration_01
URB_ Lane-Centered Adaptive Follow_No Deceleration_04
URB_ Lane-Centered Adaptive Follow_Unintended Acceleration_01
URB_ Lane-Centered Adaptive Follow_Unintended Acceleration_02
URB_ Lane-Centered Adaptive Follow_Unintended Acceleration_04</t>
        </is>
      </c>
      <c r="K11" s="6" t="inlineStr">
        <is>
          <t>HFS-071</t>
        </is>
      </c>
      <c r="L11" s="6" t="inlineStr"/>
      <c r="M11" s="6" t="inlineStr"/>
    </row>
    <row r="12">
      <c r="A12" s="6" t="inlineStr">
        <is>
          <t>LV-04</t>
        </is>
      </c>
      <c r="B12" s="6" t="inlineStr">
        <is>
          <t>Leader qui freine fort</t>
        </is>
      </c>
      <c r="C12" s="6" t="inlineStr">
        <is>
          <t>HW-FOL</t>
        </is>
      </c>
      <c r="D12" s="16" t="inlineStr">
        <is>
          <t>justifié</t>
        </is>
      </c>
      <c r="E12" s="6" t="inlineStr">
        <is>
          <t>catalogue SERYTI</t>
        </is>
      </c>
      <c r="F12" s="6" t="inlineStr">
        <is>
          <t>Le HIRE de HW-FOL relie une déviation de commande sollicitée par la scène (Acceleration command, Deceleration command) au hazard de l'abstract (H2)</t>
        </is>
      </c>
      <c r="G12" s="6" t="inlineStr">
        <is>
          <t>H2 Front collision</t>
        </is>
      </c>
      <c r="H12" s="6" t="inlineStr">
        <is>
          <t>Acceleration command, Brake Lights command, Deceleration command</t>
        </is>
      </c>
      <c r="I12" s="6" t="n">
        <v>24</v>
      </c>
      <c r="J12"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12" s="6" t="inlineStr">
        <is>
          <t>HFS-025</t>
        </is>
      </c>
      <c r="L12" s="6" t="inlineStr"/>
      <c r="M12" s="6" t="inlineStr"/>
    </row>
    <row r="13">
      <c r="A13" s="6" t="inlineStr">
        <is>
          <t>LV-04</t>
        </is>
      </c>
      <c r="B13" s="6" t="inlineStr">
        <is>
          <t>Leader qui freine fort</t>
        </is>
      </c>
      <c r="C13" s="6" t="inlineStr">
        <is>
          <t>HW-ESL</t>
        </is>
      </c>
      <c r="D13" s="16" t="inlineStr">
        <is>
          <t>justifié</t>
        </is>
      </c>
      <c r="E13" s="6" t="inlineStr">
        <is>
          <t>catalogue SERYTI</t>
        </is>
      </c>
      <c r="F13" s="6" t="inlineStr">
        <is>
          <t>Le HIRE de HW-ESL relie une déviation de commande sollicitée par la scène (Acceleration command, Deceleration command) au hazard de l'abstract (H2)</t>
        </is>
      </c>
      <c r="G13" s="6" t="inlineStr">
        <is>
          <t>H2 Front collision</t>
        </is>
      </c>
      <c r="H13" s="6" t="inlineStr">
        <is>
          <t>Acceleration command, Brake Lights command, Deceleration command, Hazard Lights command</t>
        </is>
      </c>
      <c r="I13" s="6" t="n">
        <v>4</v>
      </c>
      <c r="J13" s="6" t="inlineStr">
        <is>
          <t>HW_ Emergency Stop in Lane_Excessive Acceleration_01
HW_ Emergency Stop in Lane_No Deceleration_01
HW_ Emergency Stop in Lane_No Deceleration_03
HW_ Emergency Stop in Lane_Unintended Acceleration_01</t>
        </is>
      </c>
      <c r="K13" s="6" t="inlineStr">
        <is>
          <t>HFS-015</t>
        </is>
      </c>
      <c r="L13" s="6" t="inlineStr"/>
      <c r="M13" s="6" t="inlineStr"/>
    </row>
    <row r="14">
      <c r="A14" s="6" t="inlineStr">
        <is>
          <t>LV-04</t>
        </is>
      </c>
      <c r="B14" s="6" t="inlineStr">
        <is>
          <t>Leader qui freine fort</t>
        </is>
      </c>
      <c r="C14" s="6" t="inlineStr">
        <is>
          <t>HW-ELM</t>
        </is>
      </c>
      <c r="D14" s="16" t="inlineStr">
        <is>
          <t>justifié</t>
        </is>
      </c>
      <c r="E14" s="6" t="inlineStr">
        <is>
          <t>catalogue SERYTI</t>
        </is>
      </c>
      <c r="F14" s="6" t="inlineStr">
        <is>
          <t>Le HIRE de HW-ELM relie une déviation de commande sollicitée par la scène (Acceleration command, Deceleration command) au hazard de l'abstract (H2)</t>
        </is>
      </c>
      <c r="G14" s="6" t="inlineStr">
        <is>
          <t>H2 Front collision</t>
        </is>
      </c>
      <c r="H14" s="6" t="inlineStr">
        <is>
          <t>Acceleration command, Brake Lights command, Deceleration command, Hazard Lights command, Steering command, Turn Signal command</t>
        </is>
      </c>
      <c r="I14" s="6" t="n">
        <v>4</v>
      </c>
      <c r="J14" s="6" t="inlineStr">
        <is>
          <t>HW_ Emergency Lateral Motion_Excessive Acceleration_01
HW_ Emergency Lateral Motion_No Deceleration_01
HW_ Emergency Lateral Motion_No Deceleration_03
HW_ Emergency Lateral Motion_Unintended Acceleration_01</t>
        </is>
      </c>
      <c r="K14" s="6" t="inlineStr">
        <is>
          <t>HFS-009</t>
        </is>
      </c>
      <c r="L14" s="6" t="inlineStr"/>
      <c r="M14" s="6" t="inlineStr"/>
    </row>
    <row r="15">
      <c r="A15" s="6" t="inlineStr">
        <is>
          <t>LV-04</t>
        </is>
      </c>
      <c r="B15" s="6" t="inlineStr">
        <is>
          <t>Leader qui freine fort</t>
        </is>
      </c>
      <c r="C15" s="6" t="inlineStr">
        <is>
          <t>URB-FOL</t>
        </is>
      </c>
      <c r="D15" s="16" t="inlineStr">
        <is>
          <t>justifié</t>
        </is>
      </c>
      <c r="E15" s="6" t="inlineStr">
        <is>
          <t>catalogue SERYTI</t>
        </is>
      </c>
      <c r="F15" s="6" t="inlineStr">
        <is>
          <t>Le HIRE de URB-FOL relie une déviation de commande sollicitée par la scène (Acceleration command, Deceleration command) au hazard de l'abstract (H2)</t>
        </is>
      </c>
      <c r="G15" s="6" t="inlineStr">
        <is>
          <t>H2 Front collision</t>
        </is>
      </c>
      <c r="H15" s="6" t="inlineStr">
        <is>
          <t>Acceleration command, Brake Lights command, Deceleration command</t>
        </is>
      </c>
      <c r="I15" s="6" t="n">
        <v>10</v>
      </c>
      <c r="J15" s="6" t="inlineStr">
        <is>
          <t>URB_ Lane-Centered Adaptive Follow_Excessive Acceleration_01
URB_ Lane-Centered Adaptive Follow_Excessive Acceleration_02
URB_ Lane-Centered Adaptive Follow_Excessive Acceleration_04
URB_ Lane-Centered Adaptive Follow_Insufficient Deceleration_01
URB_ Lane-Centered Adaptive Follow_Insufficient Deceleration_03
URB_ Lane-Centered Adaptive Follow_No Deceleration_01
URB_ Lane-Centered Adaptive Follow_No Deceleration_04
URB_ Lane-Centered Adaptive Follow_Unintended Acceleration_01
URB_ Lane-Centered Adaptive Follow_Unintended Acceleration_02
URB_ Lane-Centered Adaptive Follow_Unintended Acceleration_04</t>
        </is>
      </c>
      <c r="K15" s="6" t="inlineStr">
        <is>
          <t>HFS-071</t>
        </is>
      </c>
      <c r="L15" s="6" t="inlineStr"/>
      <c r="M15" s="6" t="inlineStr"/>
    </row>
    <row r="16">
      <c r="A16" s="6" t="inlineStr">
        <is>
          <t>LV-05</t>
        </is>
      </c>
      <c r="B16" s="6" t="inlineStr">
        <is>
          <t>Leader arrêté (fin de bouchon, véhicule arrêté)</t>
        </is>
      </c>
      <c r="C16" s="6" t="inlineStr">
        <is>
          <t>HW-CRU</t>
        </is>
      </c>
      <c r="D16" s="16" t="inlineStr">
        <is>
          <t>justifié</t>
        </is>
      </c>
      <c r="E16" s="6" t="inlineStr">
        <is>
          <t>catalogue SERYTI</t>
        </is>
      </c>
      <c r="F16" s="6" t="inlineStr">
        <is>
          <t>Le HIRE de HW-CRU relie une déviation de commande sollicitée par la scène (Acceleration command, Deceleration command) au hazard de l'abstract (H2)</t>
        </is>
      </c>
      <c r="G16" s="6" t="inlineStr">
        <is>
          <t>H2 Front collision</t>
        </is>
      </c>
      <c r="H16" s="6" t="inlineStr">
        <is>
          <t>Acceleration command, Brake Lights command, Deceleration command</t>
        </is>
      </c>
      <c r="I16" s="6" t="n">
        <v>17</v>
      </c>
      <c r="J16" s="6" t="inlineStr">
        <is>
          <t>HW_ Lane-Centered Cruise_Deceleration too late_03
HW_ Lane-Centered Cruise_Excessive Acceleration_01
HW_ Lane-Centered Cruise_Excessive Acceleration_02
HW_ Lane-Centered Cruise_Excessive Acceleration_04
HW_ Lane-Centered Cruise_Insufficient Deceleration_01
HW_ Lane-Centered Cruise_Insufficient Deceleration_03
HW_ Lane-Centered Cruise_No Deceleration_01
HW_ Lane-Centered Cruise_No Deceleration_04
HW_ Lane-Centered Cruise_Unintended Acceleration_01
HW_ Lane-Centered Cruise_Unintended Acceleration_02</t>
        </is>
      </c>
      <c r="K16" s="6" t="inlineStr">
        <is>
          <t>HFS-030</t>
        </is>
      </c>
      <c r="L16" s="6" t="inlineStr">
        <is>
          <t>[Out-of-ODD] Disabled / stopped vehicle in lane or shoulder</t>
        </is>
      </c>
      <c r="M16" s="6" t="inlineStr"/>
    </row>
    <row r="17">
      <c r="A17" s="6" t="inlineStr">
        <is>
          <t>LV-05</t>
        </is>
      </c>
      <c r="B17" s="6" t="inlineStr">
        <is>
          <t>Leader arrêté (fin de bouchon, véhicule arrêté)</t>
        </is>
      </c>
      <c r="C17" s="6" t="inlineStr">
        <is>
          <t>HW-FOL</t>
        </is>
      </c>
      <c r="D17" s="16" t="inlineStr">
        <is>
          <t>justifié</t>
        </is>
      </c>
      <c r="E17" s="6" t="inlineStr">
        <is>
          <t>catalogue SERYTI</t>
        </is>
      </c>
      <c r="F17" s="6" t="inlineStr">
        <is>
          <t>Le HIRE de HW-FOL relie une déviation de commande sollicitée par la scène (Acceleration command, Deceleration command) au hazard de l'abstract (H2)</t>
        </is>
      </c>
      <c r="G17" s="6" t="inlineStr">
        <is>
          <t>H2 Front collision</t>
        </is>
      </c>
      <c r="H17" s="6" t="inlineStr">
        <is>
          <t>Acceleration command, Brake Lights command, Deceleration command</t>
        </is>
      </c>
      <c r="I17" s="6" t="n">
        <v>24</v>
      </c>
      <c r="J17"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17" s="6" t="inlineStr">
        <is>
          <t>HFS-025</t>
        </is>
      </c>
      <c r="L17" s="6" t="inlineStr"/>
      <c r="M17" s="6" t="inlineStr">
        <is>
          <t>[Out-of-ODD] Disabled / stopped vehicle in lane or shoulder</t>
        </is>
      </c>
    </row>
    <row r="18">
      <c r="A18" s="6" t="inlineStr">
        <is>
          <t>LV-05</t>
        </is>
      </c>
      <c r="B18" s="6" t="inlineStr">
        <is>
          <t>Leader arrêté (fin de bouchon, véhicule arrêté)</t>
        </is>
      </c>
      <c r="C18" s="6" t="inlineStr">
        <is>
          <t>HW-ESL</t>
        </is>
      </c>
      <c r="D18" s="16" t="inlineStr">
        <is>
          <t>justifié</t>
        </is>
      </c>
      <c r="E18" s="6" t="inlineStr">
        <is>
          <t>catalogue SERYTI</t>
        </is>
      </c>
      <c r="F18" s="6" t="inlineStr">
        <is>
          <t>Le HIRE de HW-ESL relie une déviation de commande sollicitée par la scène (Acceleration command, Deceleration command) au hazard de l'abstract (H2)</t>
        </is>
      </c>
      <c r="G18" s="6" t="inlineStr">
        <is>
          <t>H2 Front collision</t>
        </is>
      </c>
      <c r="H18" s="6" t="inlineStr">
        <is>
          <t>Acceleration command, Brake Lights command, Deceleration command, Hazard Lights command</t>
        </is>
      </c>
      <c r="I18" s="6" t="n">
        <v>4</v>
      </c>
      <c r="J18" s="6" t="inlineStr">
        <is>
          <t>HW_ Emergency Stop in Lane_Excessive Acceleration_01
HW_ Emergency Stop in Lane_No Deceleration_01
HW_ Emergency Stop in Lane_No Deceleration_03
HW_ Emergency Stop in Lane_Unintended Acceleration_01</t>
        </is>
      </c>
      <c r="K18" s="6" t="inlineStr">
        <is>
          <t>HFS-015</t>
        </is>
      </c>
      <c r="L18" s="6" t="inlineStr"/>
      <c r="M18" s="6" t="inlineStr">
        <is>
          <t>[Out-of-ODD] Disabled / stopped vehicle in lane or shoulder</t>
        </is>
      </c>
    </row>
    <row r="19">
      <c r="A19" s="6" t="inlineStr">
        <is>
          <t>LV-05</t>
        </is>
      </c>
      <c r="B19" s="6" t="inlineStr">
        <is>
          <t>Leader arrêté (fin de bouchon, véhicule arrêté)</t>
        </is>
      </c>
      <c r="C19" s="6" t="inlineStr">
        <is>
          <t>HW-ELM</t>
        </is>
      </c>
      <c r="D19" s="16" t="inlineStr">
        <is>
          <t>justifié</t>
        </is>
      </c>
      <c r="E19" s="6" t="inlineStr">
        <is>
          <t>catalogue SERYTI</t>
        </is>
      </c>
      <c r="F19" s="6" t="inlineStr">
        <is>
          <t>Le HIRE de HW-ELM relie une déviation de commande sollicitée par la scène (Acceleration command, Deceleration command) au hazard de l'abstract (H2)</t>
        </is>
      </c>
      <c r="G19" s="6" t="inlineStr">
        <is>
          <t>H2 Front collision</t>
        </is>
      </c>
      <c r="H19" s="6" t="inlineStr">
        <is>
          <t>Acceleration command, Brake Lights command, Deceleration command, Hazard Lights command, Steering command, Turn Signal command</t>
        </is>
      </c>
      <c r="I19" s="6" t="n">
        <v>4</v>
      </c>
      <c r="J19" s="6" t="inlineStr">
        <is>
          <t>HW_ Emergency Lateral Motion_Excessive Acceleration_01
HW_ Emergency Lateral Motion_No Deceleration_01
HW_ Emergency Lateral Motion_No Deceleration_03
HW_ Emergency Lateral Motion_Unintended Acceleration_01</t>
        </is>
      </c>
      <c r="K19" s="6" t="inlineStr">
        <is>
          <t>HFS-009</t>
        </is>
      </c>
      <c r="L19" s="6" t="inlineStr"/>
      <c r="M19" s="6" t="inlineStr">
        <is>
          <t>[Out-of-ODD] Disabled / stopped vehicle in lane or shoulder</t>
        </is>
      </c>
    </row>
    <row r="20">
      <c r="A20" s="6" t="inlineStr">
        <is>
          <t>LV-05</t>
        </is>
      </c>
      <c r="B20" s="6" t="inlineStr">
        <is>
          <t>Leader arrêté (fin de bouchon, véhicule arrêté)</t>
        </is>
      </c>
      <c r="C20" s="6" t="inlineStr">
        <is>
          <t>HW-LC</t>
        </is>
      </c>
      <c r="D20" s="16" t="inlineStr">
        <is>
          <t>justifié</t>
        </is>
      </c>
      <c r="E20" s="6" t="inlineStr">
        <is>
          <t>catalogue SERYTI</t>
        </is>
      </c>
      <c r="F20" s="6" t="inlineStr">
        <is>
          <t>Le HIRE de HW-LC relie une déviation de commande sollicitée par la scène (Acceleration command, Deceleration command, Steering command) au hazard de l'abstract (H2)</t>
        </is>
      </c>
      <c r="G20" s="6" t="inlineStr">
        <is>
          <t>H2 Front collision</t>
        </is>
      </c>
      <c r="H20" s="6" t="inlineStr">
        <is>
          <t>Acceleration command, Brake Lights command, Deceleration command, Steering command, Turn Signal command</t>
        </is>
      </c>
      <c r="I20" s="6" t="n">
        <v>11</v>
      </c>
      <c r="J20" s="6" t="inlineStr">
        <is>
          <t>HW_ Lane Changes / Overtaking_Excessive Acceleration_01
HW_ Lane Changes / Overtaking_Excessive Acceleration_02
HW_ Lane Changes / Overtaking_Excessive Acceleration_04
HW_ Lane Changes / Overtaking_Insufficient Deceleration_01
HW_ Lane Changes / Overtaking_Insufficient Deceleration_03
HW_ Lane Changes / Overtaking_No Deceleration_01
HW_ Lane Changes / Overtaking_No Deceleration_04
HW_ Lane Changes / Overtaking_No Steering_02
HW_ Lane Changes / Overtaking_Unintended Acceleration_01
HW_ Lane Changes / Overtaking_Unintended Acceleration_02</t>
        </is>
      </c>
      <c r="K20" s="6" t="inlineStr">
        <is>
          <t>HFS-020</t>
        </is>
      </c>
      <c r="L20" s="6" t="inlineStr"/>
      <c r="M20" s="6" t="inlineStr">
        <is>
          <t>[Out-of-ODD] Disabled / stopped vehicle in lane or shoulder</t>
        </is>
      </c>
    </row>
    <row r="21">
      <c r="A21" s="6" t="inlineStr">
        <is>
          <t>LV-05</t>
        </is>
      </c>
      <c r="B21" s="6" t="inlineStr">
        <is>
          <t>Leader arrêté (fin de bouchon, véhicule arrêté)</t>
        </is>
      </c>
      <c r="C21" s="6" t="inlineStr">
        <is>
          <t>URB-FOL</t>
        </is>
      </c>
      <c r="D21" s="16" t="inlineStr">
        <is>
          <t>justifié</t>
        </is>
      </c>
      <c r="E21" s="6" t="inlineStr">
        <is>
          <t>catalogue SERYTI</t>
        </is>
      </c>
      <c r="F21" s="6" t="inlineStr">
        <is>
          <t>Le HIRE de URB-FOL relie une déviation de commande sollicitée par la scène (Acceleration command, Deceleration command) au hazard de l'abstract (H2)</t>
        </is>
      </c>
      <c r="G21" s="6" t="inlineStr">
        <is>
          <t>H2 Front collision</t>
        </is>
      </c>
      <c r="H21" s="6" t="inlineStr">
        <is>
          <t>Acceleration command, Brake Lights command, Deceleration command</t>
        </is>
      </c>
      <c r="I21" s="6" t="n">
        <v>10</v>
      </c>
      <c r="J21" s="6" t="inlineStr">
        <is>
          <t>URB_ Lane-Centered Adaptive Follow_Excessive Acceleration_01
URB_ Lane-Centered Adaptive Follow_Excessive Acceleration_02
URB_ Lane-Centered Adaptive Follow_Excessive Acceleration_04
URB_ Lane-Centered Adaptive Follow_Insufficient Deceleration_01
URB_ Lane-Centered Adaptive Follow_Insufficient Deceleration_03
URB_ Lane-Centered Adaptive Follow_No Deceleration_01
URB_ Lane-Centered Adaptive Follow_No Deceleration_04
URB_ Lane-Centered Adaptive Follow_Unintended Acceleration_01
URB_ Lane-Centered Adaptive Follow_Unintended Acceleration_02
URB_ Lane-Centered Adaptive Follow_Unintended Acceleration_04</t>
        </is>
      </c>
      <c r="K21" s="6" t="inlineStr">
        <is>
          <t>HFS-071</t>
        </is>
      </c>
      <c r="L21" s="6" t="inlineStr"/>
      <c r="M21" s="6" t="inlineStr">
        <is>
          <t>[Out-of-ODD] Disabled / stopped vehicle in lane or shoulder</t>
        </is>
      </c>
    </row>
    <row r="22">
      <c r="A22" s="6" t="inlineStr">
        <is>
          <t>LV-06</t>
        </is>
      </c>
      <c r="B22" s="6" t="inlineStr">
        <is>
          <t>Leader qui accélère et s'éloigne</t>
        </is>
      </c>
      <c r="C22" s="6" t="inlineStr">
        <is>
          <t>HW-FOL</t>
        </is>
      </c>
      <c r="D22" s="16" t="inlineStr">
        <is>
          <t>justifié</t>
        </is>
      </c>
      <c r="E22" s="6" t="inlineStr">
        <is>
          <t>catalogue SERYTI</t>
        </is>
      </c>
      <c r="F22" s="6" t="inlineStr">
        <is>
          <t>Le HIRE de HW-FOL relie une déviation de commande sollicitée par la scène (Acceleration command, Deceleration command) au hazard de l'abstract (H2, H3)</t>
        </is>
      </c>
      <c r="G22" s="6" t="inlineStr">
        <is>
          <t>H2 Front collision, H3 Rear-end by follower</t>
        </is>
      </c>
      <c r="H22" s="6" t="inlineStr">
        <is>
          <t>Acceleration command, Deceleration command</t>
        </is>
      </c>
      <c r="I22" s="6" t="n">
        <v>35</v>
      </c>
      <c r="J22" s="6" t="inlineStr">
        <is>
          <t>HW_ Lane-Centered Adaptive Follow_Excessive Acceleration_01
HW_ Lane-Centered Adaptive Follow_Excessive Acceleration_02
HW_ Lane-Centered Adaptive Follow_Excessive Acceleration_04
HW_ Lane-Centered Adaptive Follow_Excessive Deceleration_01
HW_ Lane-Centered Adaptive Follow_Excessive Deceleration_02
HW_ Lane-Centered Adaptive Follow_Excessive Deceleration_04
HW_ Lane-Centered Adaptive Follow_Insufficient Acceleration_01
HW_ Lane-Centered Adaptive Follow_Insufficient Acceleration_03
HW_ Lane-Centered Adaptive Follow_Insufficient Deceleration_01
HW_ Lane-Centered Adaptive Follow_Insufficient Deceleration_03</t>
        </is>
      </c>
      <c r="K22" s="6" t="inlineStr">
        <is>
          <t>HFS-025, HFS-026</t>
        </is>
      </c>
      <c r="L22" s="6" t="inlineStr"/>
      <c r="M22" s="6" t="inlineStr"/>
    </row>
    <row r="23">
      <c r="A23" s="6" t="inlineStr">
        <is>
          <t>LV-06</t>
        </is>
      </c>
      <c r="B23" s="6" t="inlineStr">
        <is>
          <t>Leader qui accélère et s'éloigne</t>
        </is>
      </c>
      <c r="C23" s="6" t="inlineStr">
        <is>
          <t>URB-FOL</t>
        </is>
      </c>
      <c r="D23" s="16" t="inlineStr">
        <is>
          <t>justifié</t>
        </is>
      </c>
      <c r="E23" s="6" t="inlineStr">
        <is>
          <t>catalogue SERYTI</t>
        </is>
      </c>
      <c r="F23" s="6" t="inlineStr">
        <is>
          <t>Le HIRE de URB-FOL relie une déviation de commande sollicitée par la scène (Acceleration command, Deceleration command) au hazard de l'abstract (H2, H3)</t>
        </is>
      </c>
      <c r="G23" s="6" t="inlineStr">
        <is>
          <t>H2 Front collision, H3 Rear-end by follower</t>
        </is>
      </c>
      <c r="H23" s="6" t="inlineStr">
        <is>
          <t>Acceleration command, Deceleration command</t>
        </is>
      </c>
      <c r="I23" s="6" t="n">
        <v>20</v>
      </c>
      <c r="J23" s="6" t="inlineStr">
        <is>
          <t>URB_ Lane-Centered Adaptive Follow_Excessive Acceleration_01
URB_ Lane-Centered Adaptive Follow_Excessive Acceleration_02
URB_ Lane-Centered Adaptive Follow_Excessive Acceleration_04
URB_ Lane-Centered Adaptive Follow_Excessive Deceleration_01
URB_ Lane-Centered Adaptive Follow_Excessive Deceleration_02
URB_ Lane-Centered Adaptive Follow_Excessive Deceleration_04
URB_ Lane-Centered Adaptive Follow_Insufficient Acceleration_01
URB_ Lane-Centered Adaptive Follow_Insufficient Acceleration_03
URB_ Lane-Centered Adaptive Follow_Insufficient Deceleration_01
URB_ Lane-Centered Adaptive Follow_Insufficient Deceleration_03</t>
        </is>
      </c>
      <c r="K23" s="6" t="inlineStr">
        <is>
          <t>HFS-071, HFS-072</t>
        </is>
      </c>
      <c r="L23" s="6" t="inlineStr"/>
      <c r="M23" s="6" t="inlineStr"/>
    </row>
    <row r="24">
      <c r="A24" s="6" t="inlineStr">
        <is>
          <t>LV-07</t>
        </is>
      </c>
      <c r="B24" s="6" t="inlineStr">
        <is>
          <t>Accordéon (stop-and-go)</t>
        </is>
      </c>
      <c r="C24" s="6" t="inlineStr">
        <is>
          <t>HW-FOL</t>
        </is>
      </c>
      <c r="D24" s="16" t="inlineStr">
        <is>
          <t>justifié</t>
        </is>
      </c>
      <c r="E24" s="6" t="inlineStr">
        <is>
          <t>catalogue SERYTI</t>
        </is>
      </c>
      <c r="F24" s="6" t="inlineStr">
        <is>
          <t>Le HIRE de HW-FOL relie une déviation de commande sollicitée par la scène (Acceleration command, Brake Lights command, Deceleration command) au hazard de l'abstract (H2, H3)</t>
        </is>
      </c>
      <c r="G24" s="6" t="inlineStr">
        <is>
          <t>H2 Front collision, H3 Rear-end by follower</t>
        </is>
      </c>
      <c r="H24" s="6" t="inlineStr">
        <is>
          <t>Acceleration command, Brake Lights command, Deceleration command</t>
        </is>
      </c>
      <c r="I24" s="6" t="n">
        <v>37</v>
      </c>
      <c r="J24" s="6" t="inlineStr">
        <is>
          <t>HW_ Lane-Centered Adaptive Follow_Brake Lights too late_01
HW_ Lane-Centered Adaptive Follow_Excessive Acceleration_01
HW_ Lane-Centered Adaptive Follow_Excessive Acceleration_02
HW_ Lane-Centered Adaptive Follow_Excessive Acceleration_04
HW_ Lane-Centered Adaptive Follow_Excessive Deceleration_01
HW_ Lane-Centered Adaptive Follow_Excessive Deceleration_02
HW_ Lane-Centered Adaptive Follow_Excessive Deceleration_04
HW_ Lane-Centered Adaptive Follow_Insufficient Acceleration_01
HW_ Lane-Centered Adaptive Follow_Insufficient Acceleration_03
HW_ Lane-Centered Adaptive Follow_Insufficient Deceleration_01</t>
        </is>
      </c>
      <c r="K24" s="6" t="inlineStr">
        <is>
          <t>HFS-025, HFS-026</t>
        </is>
      </c>
      <c r="L24" s="6" t="inlineStr"/>
      <c r="M24" s="6" t="inlineStr"/>
    </row>
    <row r="25">
      <c r="A25" s="6" t="inlineStr">
        <is>
          <t>LV-07</t>
        </is>
      </c>
      <c r="B25" s="6" t="inlineStr">
        <is>
          <t>Accordéon (stop-and-go)</t>
        </is>
      </c>
      <c r="C25" s="6" t="inlineStr">
        <is>
          <t>URB-FOL</t>
        </is>
      </c>
      <c r="D25" s="16" t="inlineStr">
        <is>
          <t>justifié</t>
        </is>
      </c>
      <c r="E25" s="6" t="inlineStr">
        <is>
          <t>catalogue SERYTI</t>
        </is>
      </c>
      <c r="F25" s="6" t="inlineStr">
        <is>
          <t>Le HIRE de URB-FOL relie une déviation de commande sollicitée par la scène (Acceleration command, Deceleration command) au hazard de l'abstract (H2, H3)</t>
        </is>
      </c>
      <c r="G25" s="6" t="inlineStr">
        <is>
          <t>H2 Front collision, H3 Rear-end by follower</t>
        </is>
      </c>
      <c r="H25" s="6" t="inlineStr">
        <is>
          <t>Acceleration command, Brake Lights command, Deceleration command</t>
        </is>
      </c>
      <c r="I25" s="6" t="n">
        <v>20</v>
      </c>
      <c r="J25" s="6" t="inlineStr">
        <is>
          <t>URB_ Lane-Centered Adaptive Follow_Excessive Acceleration_01
URB_ Lane-Centered Adaptive Follow_Excessive Acceleration_02
URB_ Lane-Centered Adaptive Follow_Excessive Acceleration_04
URB_ Lane-Centered Adaptive Follow_Excessive Deceleration_01
URB_ Lane-Centered Adaptive Follow_Excessive Deceleration_02
URB_ Lane-Centered Adaptive Follow_Excessive Deceleration_04
URB_ Lane-Centered Adaptive Follow_Insufficient Acceleration_01
URB_ Lane-Centered Adaptive Follow_Insufficient Acceleration_03
URB_ Lane-Centered Adaptive Follow_Insufficient Deceleration_01
URB_ Lane-Centered Adaptive Follow_Insufficient Deceleration_03</t>
        </is>
      </c>
      <c r="K25" s="6" t="inlineStr">
        <is>
          <t>HFS-071, HFS-072</t>
        </is>
      </c>
      <c r="L25" s="6" t="inlineStr"/>
      <c r="M25" s="6" t="inlineStr"/>
    </row>
    <row r="26">
      <c r="A26" s="6" t="inlineStr">
        <is>
          <t>LV-08</t>
        </is>
      </c>
      <c r="B26" s="6" t="inlineStr">
        <is>
          <t>Leader au comportement erratique</t>
        </is>
      </c>
      <c r="C26" s="6" t="inlineStr">
        <is>
          <t>HW-FOL</t>
        </is>
      </c>
      <c r="D26" s="16" t="inlineStr">
        <is>
          <t>justifié</t>
        </is>
      </c>
      <c r="E26" s="6" t="inlineStr">
        <is>
          <t>catalogue SERYTI</t>
        </is>
      </c>
      <c r="F26" s="6" t="inlineStr">
        <is>
          <t>Le HIRE de HW-FOL relie une déviation de commande sollicitée par la scène (Acceleration command, Deceleration command) au hazard de l'abstract (H2)</t>
        </is>
      </c>
      <c r="G26" s="6" t="inlineStr">
        <is>
          <t>H2 Front collision</t>
        </is>
      </c>
      <c r="H26" s="6" t="inlineStr">
        <is>
          <t>Acceleration command, Brake Lights command, Deceleration command</t>
        </is>
      </c>
      <c r="I26" s="6" t="n">
        <v>24</v>
      </c>
      <c r="J26"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26" s="6" t="inlineStr">
        <is>
          <t>HFS-025</t>
        </is>
      </c>
      <c r="L26" s="6" t="inlineStr"/>
      <c r="M26" s="6" t="inlineStr"/>
    </row>
    <row r="27">
      <c r="A27" s="6" t="inlineStr">
        <is>
          <t>LV-09</t>
        </is>
      </c>
      <c r="B27" s="6" t="inlineStr">
        <is>
          <t>Moto en leader</t>
        </is>
      </c>
      <c r="C27" s="6" t="inlineStr">
        <is>
          <t>HW-CRU</t>
        </is>
      </c>
      <c r="D27" s="16" t="inlineStr">
        <is>
          <t>justifié</t>
        </is>
      </c>
      <c r="E27" s="6" t="inlineStr">
        <is>
          <t>catalogue SERYTI</t>
        </is>
      </c>
      <c r="F27" s="6" t="inlineStr">
        <is>
          <t>Le HIRE de HW-CRU relie une déviation de commande sollicitée par la scène (Acceleration command, Deceleration command) au hazard de l'abstract (H2)</t>
        </is>
      </c>
      <c r="G27" s="6" t="inlineStr">
        <is>
          <t>H2 Front collision</t>
        </is>
      </c>
      <c r="H27" s="6" t="inlineStr">
        <is>
          <t>Acceleration command, Deceleration command</t>
        </is>
      </c>
      <c r="I27" s="6" t="n">
        <v>17</v>
      </c>
      <c r="J27" s="6" t="inlineStr">
        <is>
          <t>HW_ Lane-Centered Cruise_Excessive Acceleration_01
HW_ Lane-Centered Cruise_Excessive Acceleration_02
HW_ Lane-Centered Cruise_Excessive Acceleration_04
HW_ Lane-Centered Cruise_Insufficient Deceleration_01
HW_ Lane-Centered Cruise_Insufficient Deceleration_03
HW_ Lane-Centered Cruise_No Deceleration_01
HW_ Lane-Centered Cruise_No Deceleration_04
HW_ Lane-Centered Cruise_Unintended Acceleration_01
HW_ Lane-Centered Cruise_Unintended Acceleration_02
HW_ Lane-Centered Cruise_Unintended Acceleration_04</t>
        </is>
      </c>
      <c r="K27" s="6" t="inlineStr">
        <is>
          <t>HFS-030</t>
        </is>
      </c>
      <c r="L27" s="6" t="inlineStr"/>
      <c r="M27" s="6" t="inlineStr"/>
    </row>
    <row r="28">
      <c r="A28" s="6" t="inlineStr">
        <is>
          <t>LV-09</t>
        </is>
      </c>
      <c r="B28" s="6" t="inlineStr">
        <is>
          <t>Moto en leader</t>
        </is>
      </c>
      <c r="C28" s="6" t="inlineStr">
        <is>
          <t>HW-FOL</t>
        </is>
      </c>
      <c r="D28" s="16" t="inlineStr">
        <is>
          <t>justifié</t>
        </is>
      </c>
      <c r="E28" s="6" t="inlineStr">
        <is>
          <t>catalogue SERYTI</t>
        </is>
      </c>
      <c r="F28" s="6" t="inlineStr">
        <is>
          <t>Le HIRE de HW-FOL relie une déviation de commande sollicitée par la scène (Acceleration command, Deceleration command) au hazard de l'abstract (H2)</t>
        </is>
      </c>
      <c r="G28" s="6" t="inlineStr">
        <is>
          <t>H2 Front collision</t>
        </is>
      </c>
      <c r="H28" s="6" t="inlineStr">
        <is>
          <t>Acceleration command, Deceleration command</t>
        </is>
      </c>
      <c r="I28" s="6" t="n">
        <v>24</v>
      </c>
      <c r="J28"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28" s="6" t="inlineStr">
        <is>
          <t>HFS-025</t>
        </is>
      </c>
      <c r="L28" s="6" t="inlineStr"/>
      <c r="M28" s="6" t="inlineStr"/>
    </row>
    <row r="29">
      <c r="A29" s="6" t="inlineStr">
        <is>
          <t>LV-10</t>
        </is>
      </c>
      <c r="B29" s="6" t="inlineStr">
        <is>
          <t>Leader camion qui masque la vue</t>
        </is>
      </c>
      <c r="C29" s="6" t="inlineStr">
        <is>
          <t>HW-FOL</t>
        </is>
      </c>
      <c r="D29" s="16" t="inlineStr">
        <is>
          <t>justifié</t>
        </is>
      </c>
      <c r="E29" s="6" t="inlineStr">
        <is>
          <t>catalogue SERYTI</t>
        </is>
      </c>
      <c r="F29" s="6" t="inlineStr">
        <is>
          <t>Le HIRE de HW-FOL relie une déviation de commande sollicitée par la scène (Acceleration command, Deceleration command, Steering command) au hazard de l'abstract (H2)</t>
        </is>
      </c>
      <c r="G29" s="6" t="inlineStr">
        <is>
          <t>H2 Front collision</t>
        </is>
      </c>
      <c r="H29" s="6" t="inlineStr">
        <is>
          <t>Acceleration command, Brake Lights command, Deceleration command, Steering command</t>
        </is>
      </c>
      <c r="I29" s="6" t="n">
        <v>25</v>
      </c>
      <c r="J29"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Follow_Unintended Acceleration_01
HW_ Lane-Centered Adaptive Follow_Unintended Acceleration_02</t>
        </is>
      </c>
      <c r="K29" s="6" t="inlineStr">
        <is>
          <t>HFS-025</t>
        </is>
      </c>
      <c r="L29" s="6" t="inlineStr"/>
      <c r="M29" s="6" t="inlineStr">
        <is>
          <t>[Out-of-ODD] Disabled / stopped vehicle in lane or shoulder</t>
        </is>
      </c>
    </row>
    <row r="30">
      <c r="A30" s="6" t="inlineStr">
        <is>
          <t>LV-10</t>
        </is>
      </c>
      <c r="B30" s="6" t="inlineStr">
        <is>
          <t>Leader camion qui masque la vue</t>
        </is>
      </c>
      <c r="C30" s="6" t="inlineStr">
        <is>
          <t>HW-ESL</t>
        </is>
      </c>
      <c r="D30" s="16" t="inlineStr">
        <is>
          <t>justifié</t>
        </is>
      </c>
      <c r="E30" s="6" t="inlineStr">
        <is>
          <t>catalogue SERYTI</t>
        </is>
      </c>
      <c r="F30" s="6" t="inlineStr">
        <is>
          <t>Le HIRE de HW-ESL relie une déviation de commande sollicitée par la scène (Acceleration command, Deceleration command) au hazard de l'abstract (H2)</t>
        </is>
      </c>
      <c r="G30" s="6" t="inlineStr">
        <is>
          <t>H2 Front collision</t>
        </is>
      </c>
      <c r="H30" s="6" t="inlineStr">
        <is>
          <t>Acceleration command, Brake Lights command, Deceleration command, Hazard Lights command, Steering command</t>
        </is>
      </c>
      <c r="I30" s="6" t="n">
        <v>4</v>
      </c>
      <c r="J30" s="6" t="inlineStr">
        <is>
          <t>HW_ Emergency Stop in Lane_Excessive Acceleration_01
HW_ Emergency Stop in Lane_No Deceleration_01
HW_ Emergency Stop in Lane_No Deceleration_03
HW_ Emergency Stop in Lane_Unintended Acceleration_01</t>
        </is>
      </c>
      <c r="K30" s="6" t="inlineStr">
        <is>
          <t>HFS-015</t>
        </is>
      </c>
      <c r="L30" s="6" t="inlineStr"/>
      <c r="M30" s="6" t="inlineStr">
        <is>
          <t>[Out-of-ODD] Disabled / stopped vehicle in lane or shoulder</t>
        </is>
      </c>
    </row>
    <row r="31">
      <c r="A31" s="6" t="inlineStr">
        <is>
          <t>LV-11</t>
        </is>
      </c>
      <c r="B31" s="6" t="inlineStr">
        <is>
          <t>Le leader change de voie et libère la voie (cut-out)</t>
        </is>
      </c>
      <c r="C31" s="6" t="inlineStr">
        <is>
          <t>HW-CRU</t>
        </is>
      </c>
      <c r="D31" s="16" t="inlineStr">
        <is>
          <t>justifié</t>
        </is>
      </c>
      <c r="E31" s="6" t="inlineStr">
        <is>
          <t>catalogue SERYTI</t>
        </is>
      </c>
      <c r="F31" s="6" t="inlineStr">
        <is>
          <t>Le HIRE de HW-CRU relie une déviation de commande sollicitée par la scène (Acceleration command, Deceleration command) au hazard de l'abstract (H2)</t>
        </is>
      </c>
      <c r="G31" s="6" t="inlineStr">
        <is>
          <t>H2 Front collision</t>
        </is>
      </c>
      <c r="H31" s="6" t="inlineStr">
        <is>
          <t>Acceleration command, Deceleration command</t>
        </is>
      </c>
      <c r="I31" s="6" t="n">
        <v>17</v>
      </c>
      <c r="J31" s="6" t="inlineStr">
        <is>
          <t>HW_ Lane-Centered Cruise_Excessive Acceleration_01
HW_ Lane-Centered Cruise_Excessive Acceleration_02
HW_ Lane-Centered Cruise_Excessive Acceleration_04
HW_ Lane-Centered Cruise_Insufficient Deceleration_01
HW_ Lane-Centered Cruise_Insufficient Deceleration_03
HW_ Lane-Centered Cruise_No Deceleration_01
HW_ Lane-Centered Cruise_No Deceleration_04
HW_ Lane-Centered Cruise_Unintended Acceleration_01
HW_ Lane-Centered Cruise_Unintended Acceleration_02
HW_ Lane-Centered Cruise_Unintended Acceleration_04</t>
        </is>
      </c>
      <c r="K31" s="6" t="inlineStr">
        <is>
          <t>HFS-030</t>
        </is>
      </c>
      <c r="L31" s="6" t="inlineStr"/>
      <c r="M31" s="6" t="inlineStr"/>
    </row>
    <row r="32">
      <c r="A32" s="6" t="inlineStr">
        <is>
          <t>LV-11</t>
        </is>
      </c>
      <c r="B32" s="6" t="inlineStr">
        <is>
          <t>Le leader change de voie et libère la voie (cut-out)</t>
        </is>
      </c>
      <c r="C32" s="6" t="inlineStr">
        <is>
          <t>HW-FOL</t>
        </is>
      </c>
      <c r="D32" s="16" t="inlineStr">
        <is>
          <t>justifié</t>
        </is>
      </c>
      <c r="E32" s="6" t="inlineStr">
        <is>
          <t>catalogue SERYTI</t>
        </is>
      </c>
      <c r="F32" s="6" t="inlineStr">
        <is>
          <t>Le HIRE de HW-FOL relie une déviation de commande sollicitée par la scène (Acceleration command, Deceleration command) au hazard de l'abstract (H2)</t>
        </is>
      </c>
      <c r="G32" s="6" t="inlineStr">
        <is>
          <t>H2 Front collision</t>
        </is>
      </c>
      <c r="H32" s="6" t="inlineStr">
        <is>
          <t>Acceleration command, Deceleration command</t>
        </is>
      </c>
      <c r="I32" s="6" t="n">
        <v>24</v>
      </c>
      <c r="J32"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32" s="6" t="inlineStr">
        <is>
          <t>HFS-025</t>
        </is>
      </c>
      <c r="L32" s="6" t="inlineStr"/>
      <c r="M32" s="6" t="inlineStr"/>
    </row>
    <row r="33">
      <c r="A33" s="6" t="inlineStr">
        <is>
          <t>CI-01</t>
        </is>
      </c>
      <c r="B33" s="6" t="inlineStr">
        <is>
          <t>Cut-in depuis la gauche, gap suffisant</t>
        </is>
      </c>
      <c r="C33" s="6" t="inlineStr">
        <is>
          <t>HW-CRU</t>
        </is>
      </c>
      <c r="D33" s="16" t="inlineStr">
        <is>
          <t>justifié</t>
        </is>
      </c>
      <c r="E33" s="6" t="inlineStr">
        <is>
          <t>catalogue SERYTI</t>
        </is>
      </c>
      <c r="F33" s="6" t="inlineStr">
        <is>
          <t>Le HIRE de HW-CRU relie une déviation de commande sollicitée par la scène (Deceleration command, Steering command) au hazard de l'abstract (H2)</t>
        </is>
      </c>
      <c r="G33" s="6" t="inlineStr">
        <is>
          <t>H2 Front collision</t>
        </is>
      </c>
      <c r="H33" s="6" t="inlineStr">
        <is>
          <t>Deceleration command, Steering command</t>
        </is>
      </c>
      <c r="I33" s="6" t="n">
        <v>15</v>
      </c>
      <c r="J33" s="6" t="inlineStr">
        <is>
          <t>HW_ Lane-Centered Cruise_Insufficient Deceleration_01
HW_ Lane-Centered Cruise_Insufficient Deceleration_03
HW_ Lane-Centered Cruise_No Deceleration_01
HW_ Lane-Centered Cruise_No Deceleration_04
HW_ Lane-Centered Cruise_No Steering_02
HW_ Lane-Centered Cruise_Deceleration too late_01
HW_ Lane-Centered Cruise_Deceleration too late_02
HW_ Lane-Centered Cruise_Deceleration too late_03
HW_ Lane-Centered Cruise_No Deceleration_05
HW_ Lane-Centered Cruise_No Deceleration_07</t>
        </is>
      </c>
      <c r="K33" s="6" t="inlineStr">
        <is>
          <t>HFS-030</t>
        </is>
      </c>
      <c r="L33" s="6" t="inlineStr"/>
      <c r="M33" s="6" t="inlineStr">
        <is>
          <t>Vehicles — dense traffic / cut-in</t>
        </is>
      </c>
    </row>
    <row r="34">
      <c r="A34" s="6" t="inlineStr">
        <is>
          <t>CI-01</t>
        </is>
      </c>
      <c r="B34" s="6" t="inlineStr">
        <is>
          <t>Cut-in depuis la gauche, gap suffisant</t>
        </is>
      </c>
      <c r="C34" s="6" t="inlineStr">
        <is>
          <t>HW-FOL</t>
        </is>
      </c>
      <c r="D34" s="16" t="inlineStr">
        <is>
          <t>justifié</t>
        </is>
      </c>
      <c r="E34" s="6" t="inlineStr">
        <is>
          <t>catalogue SERYTI</t>
        </is>
      </c>
      <c r="F34" s="6" t="inlineStr">
        <is>
          <t>Le HIRE de HW-FOL relie une déviation de commande sollicitée par la scène (Deceleration command, Steering command) au hazard de l'abstract (H2)</t>
        </is>
      </c>
      <c r="G34" s="6" t="inlineStr">
        <is>
          <t>H2 Front collision</t>
        </is>
      </c>
      <c r="H34" s="6" t="inlineStr">
        <is>
          <t>Deceleration command, Steering command</t>
        </is>
      </c>
      <c r="I34" s="6" t="n">
        <v>19</v>
      </c>
      <c r="J34" s="6" t="inlineStr">
        <is>
          <t>HW_ Lane-Centered Adaptive Follow_Deceleration too late_06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34" s="6" t="inlineStr">
        <is>
          <t>HFS-025</t>
        </is>
      </c>
      <c r="L34" s="6" t="inlineStr">
        <is>
          <t>Vehicles — dense traffic / cut-in</t>
        </is>
      </c>
      <c r="M34" s="6" t="inlineStr"/>
    </row>
    <row r="35">
      <c r="A35" s="6" t="inlineStr">
        <is>
          <t>CI-01</t>
        </is>
      </c>
      <c r="B35" s="6" t="inlineStr">
        <is>
          <t>Cut-in depuis la gauche, gap suffisant</t>
        </is>
      </c>
      <c r="C35" s="6" t="inlineStr">
        <is>
          <t>URB-FOL</t>
        </is>
      </c>
      <c r="D35" s="16" t="inlineStr">
        <is>
          <t>justifié</t>
        </is>
      </c>
      <c r="E35" s="6" t="inlineStr">
        <is>
          <t>catalogue SERYTI</t>
        </is>
      </c>
      <c r="F35" s="6" t="inlineStr">
        <is>
          <t>Le HIRE de URB-FOL relie une déviation de commande sollicitée par la scène (Deceleration command, Steering command) au hazard de l'abstract (H2)</t>
        </is>
      </c>
      <c r="G35" s="6" t="inlineStr">
        <is>
          <t>H2 Front collision</t>
        </is>
      </c>
      <c r="H35" s="6" t="inlineStr">
        <is>
          <t>Deceleration command, Steering command</t>
        </is>
      </c>
      <c r="I35" s="6" t="n">
        <v>5</v>
      </c>
      <c r="J35" s="6" t="inlineStr">
        <is>
          <t>URB_ Lane-Centered Adaptive Follow_Insufficient Deceleration_01
URB_ Lane-Centered Adaptive Follow_Insufficient Deceleration_03
URB_ Lane-Centered Adaptive Follow_No Deceleration_01
URB_ Lane-Centered Adaptive Follow_No Deceleration_04
URB_ Lane-Centered Adaptive Follow_No Steering_02</t>
        </is>
      </c>
      <c r="K35" s="6" t="inlineStr">
        <is>
          <t>HFS-071</t>
        </is>
      </c>
      <c r="L35" s="6" t="inlineStr"/>
      <c r="M35" s="6" t="inlineStr">
        <is>
          <t>Vehicles — dense traffic / cut-in</t>
        </is>
      </c>
    </row>
    <row r="36">
      <c r="A36" s="6" t="inlineStr">
        <is>
          <t>CI-02</t>
        </is>
      </c>
      <c r="B36" s="6" t="inlineStr">
        <is>
          <t>Cut-in serré depuis la gauche</t>
        </is>
      </c>
      <c r="C36" s="6" t="inlineStr">
        <is>
          <t>HW-CRU</t>
        </is>
      </c>
      <c r="D36" s="16" t="inlineStr">
        <is>
          <t>justifié</t>
        </is>
      </c>
      <c r="E36" s="6" t="inlineStr">
        <is>
          <t>catalogue SERYTI</t>
        </is>
      </c>
      <c r="F36" s="6" t="inlineStr">
        <is>
          <t>Le HIRE de HW-CRU relie une déviation de commande sollicitée par la scène (Deceleration command, Steering command) au hazard de l'abstract (H2)</t>
        </is>
      </c>
      <c r="G36" s="6" t="inlineStr">
        <is>
          <t>H2 Front collision</t>
        </is>
      </c>
      <c r="H36" s="6" t="inlineStr">
        <is>
          <t>Deceleration command, Steering command</t>
        </is>
      </c>
      <c r="I36" s="6" t="n">
        <v>15</v>
      </c>
      <c r="J36" s="6" t="inlineStr">
        <is>
          <t>HW_ Lane-Centered Cruise_Insufficient Deceleration_01
HW_ Lane-Centered Cruise_Insufficient Deceleration_03
HW_ Lane-Centered Cruise_No Deceleration_01
HW_ Lane-Centered Cruise_No Deceleration_04
HW_ Lane-Centered Cruise_No Steering_02
HW_ Lane-Centered Cruise_Deceleration too late_01
HW_ Lane-Centered Cruise_Deceleration too late_02
HW_ Lane-Centered Cruise_Deceleration too late_03
HW_ Lane-Centered Cruise_No Deceleration_05
HW_ Lane-Centered Cruise_No Deceleration_07</t>
        </is>
      </c>
      <c r="K36" s="6" t="inlineStr">
        <is>
          <t>HFS-030</t>
        </is>
      </c>
      <c r="L36" s="6" t="inlineStr"/>
      <c r="M36" s="6" t="inlineStr">
        <is>
          <t>Vehicles — dense traffic / cut-in</t>
        </is>
      </c>
    </row>
    <row r="37">
      <c r="A37" s="6" t="inlineStr">
        <is>
          <t>CI-02</t>
        </is>
      </c>
      <c r="B37" s="6" t="inlineStr">
        <is>
          <t>Cut-in serré depuis la gauche</t>
        </is>
      </c>
      <c r="C37" s="6" t="inlineStr">
        <is>
          <t>HW-FOL</t>
        </is>
      </c>
      <c r="D37" s="16" t="inlineStr">
        <is>
          <t>justifié</t>
        </is>
      </c>
      <c r="E37" s="6" t="inlineStr">
        <is>
          <t>catalogue SERYTI</t>
        </is>
      </c>
      <c r="F37" s="6" t="inlineStr">
        <is>
          <t>Le HIRE de HW-FOL relie une déviation de commande sollicitée par la scène (Deceleration command, Steering command) au hazard de l'abstract (H2)</t>
        </is>
      </c>
      <c r="G37" s="6" t="inlineStr">
        <is>
          <t>H2 Front collision</t>
        </is>
      </c>
      <c r="H37" s="6" t="inlineStr">
        <is>
          <t>Deceleration command, Steering command</t>
        </is>
      </c>
      <c r="I37" s="6" t="n">
        <v>19</v>
      </c>
      <c r="J37" s="6" t="inlineStr">
        <is>
          <t>HW_ Lane-Centered Adaptive Follow_Deceleration too late_06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37" s="6" t="inlineStr">
        <is>
          <t>HFS-025</t>
        </is>
      </c>
      <c r="L37" s="6" t="inlineStr">
        <is>
          <t>Vehicles — dense traffic / cut-in</t>
        </is>
      </c>
      <c r="M37" s="6" t="inlineStr"/>
    </row>
    <row r="38">
      <c r="A38" s="6" t="inlineStr">
        <is>
          <t>CI-02</t>
        </is>
      </c>
      <c r="B38" s="6" t="inlineStr">
        <is>
          <t>Cut-in serré depuis la gauche</t>
        </is>
      </c>
      <c r="C38" s="6" t="inlineStr">
        <is>
          <t>HW-ESL</t>
        </is>
      </c>
      <c r="D38" s="16" t="inlineStr">
        <is>
          <t>justifié</t>
        </is>
      </c>
      <c r="E38" s="6" t="inlineStr">
        <is>
          <t>catalogue SERYTI</t>
        </is>
      </c>
      <c r="F38" s="6" t="inlineStr">
        <is>
          <t>Le HIRE de HW-ESL relie une déviation de commande sollicitée par la scène (Deceleration command) au hazard de l'abstract (H2)</t>
        </is>
      </c>
      <c r="G38" s="6" t="inlineStr">
        <is>
          <t>H2 Front collision</t>
        </is>
      </c>
      <c r="H38" s="6" t="inlineStr">
        <is>
          <t>Brake Lights command, Deceleration command, Hazard Lights command, Steering command</t>
        </is>
      </c>
      <c r="I38" s="6" t="n">
        <v>2</v>
      </c>
      <c r="J38" s="6" t="inlineStr">
        <is>
          <t>HW_ Emergency Stop in Lane_No Deceleration_01
HW_ Emergency Stop in Lane_No Deceleration_03</t>
        </is>
      </c>
      <c r="K38" s="6" t="inlineStr">
        <is>
          <t>HFS-015</t>
        </is>
      </c>
      <c r="L38" s="6" t="inlineStr"/>
      <c r="M38" s="6" t="inlineStr">
        <is>
          <t>Vehicles — dense traffic / cut-in</t>
        </is>
      </c>
    </row>
    <row r="39">
      <c r="A39" s="6" t="inlineStr">
        <is>
          <t>CI-03</t>
        </is>
      </c>
      <c r="B39" s="6" t="inlineStr">
        <is>
          <t>Cut-in depuis la droite</t>
        </is>
      </c>
      <c r="C39" s="6" t="inlineStr">
        <is>
          <t>HW-CRU</t>
        </is>
      </c>
      <c r="D39" s="16" t="inlineStr">
        <is>
          <t>justifié</t>
        </is>
      </c>
      <c r="E39" s="6" t="inlineStr">
        <is>
          <t>catalogue SERYTI</t>
        </is>
      </c>
      <c r="F39" s="6" t="inlineStr">
        <is>
          <t>Le HIRE de HW-CRU relie une déviation de commande sollicitée par la scène (Deceleration command, Steering command) au hazard de l'abstract (H2)</t>
        </is>
      </c>
      <c r="G39" s="6" t="inlineStr">
        <is>
          <t>H2 Front collision</t>
        </is>
      </c>
      <c r="H39" s="6" t="inlineStr">
        <is>
          <t>Deceleration command, Steering command</t>
        </is>
      </c>
      <c r="I39" s="6" t="n">
        <v>15</v>
      </c>
      <c r="J39" s="6" t="inlineStr">
        <is>
          <t>HW_ Lane-Centered Cruise_Insufficient Deceleration_01
HW_ Lane-Centered Cruise_Insufficient Deceleration_03
HW_ Lane-Centered Cruise_No Deceleration_01
HW_ Lane-Centered Cruise_No Deceleration_04
HW_ Lane-Centered Cruise_No Steering_02
HW_ Lane-Centered Cruise_Deceleration too late_01
HW_ Lane-Centered Cruise_Deceleration too late_02
HW_ Lane-Centered Cruise_Deceleration too late_03
HW_ Lane-Centered Cruise_No Deceleration_05
HW_ Lane-Centered Cruise_No Deceleration_07</t>
        </is>
      </c>
      <c r="K39" s="6" t="inlineStr">
        <is>
          <t>HFS-030</t>
        </is>
      </c>
      <c r="L39" s="6" t="inlineStr"/>
      <c r="M39" s="6" t="inlineStr">
        <is>
          <t>Vehicles — dense traffic / cut-in</t>
        </is>
      </c>
    </row>
    <row r="40">
      <c r="A40" s="6" t="inlineStr">
        <is>
          <t>CI-03</t>
        </is>
      </c>
      <c r="B40" s="6" t="inlineStr">
        <is>
          <t>Cut-in depuis la droite</t>
        </is>
      </c>
      <c r="C40" s="6" t="inlineStr">
        <is>
          <t>HW-FOL</t>
        </is>
      </c>
      <c r="D40" s="16" t="inlineStr">
        <is>
          <t>justifié</t>
        </is>
      </c>
      <c r="E40" s="6" t="inlineStr">
        <is>
          <t>catalogue SERYTI</t>
        </is>
      </c>
      <c r="F40" s="6" t="inlineStr">
        <is>
          <t>Le HIRE de HW-FOL relie une déviation de commande sollicitée par la scène (Deceleration command, Steering command) au hazard de l'abstract (H2)</t>
        </is>
      </c>
      <c r="G40" s="6" t="inlineStr">
        <is>
          <t>H2 Front collision</t>
        </is>
      </c>
      <c r="H40" s="6" t="inlineStr">
        <is>
          <t>Deceleration command, Steering command</t>
        </is>
      </c>
      <c r="I40" s="6" t="n">
        <v>19</v>
      </c>
      <c r="J40" s="6" t="inlineStr">
        <is>
          <t>HW_ Lane-Centered Adaptive Follow_Deceleration too late_06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40" s="6" t="inlineStr">
        <is>
          <t>HFS-025</t>
        </is>
      </c>
      <c r="L40" s="6" t="inlineStr">
        <is>
          <t>Vehicles — dense traffic / cut-in</t>
        </is>
      </c>
      <c r="M40" s="6" t="inlineStr"/>
    </row>
    <row r="41">
      <c r="A41" s="6" t="inlineStr">
        <is>
          <t>CI-04</t>
        </is>
      </c>
      <c r="B41" s="6" t="inlineStr">
        <is>
          <t>Cut-in d'un véhicule plus lent</t>
        </is>
      </c>
      <c r="C41" s="6" t="inlineStr">
        <is>
          <t>HW-CRU</t>
        </is>
      </c>
      <c r="D41" s="16" t="inlineStr">
        <is>
          <t>justifié</t>
        </is>
      </c>
      <c r="E41" s="6" t="inlineStr">
        <is>
          <t>catalogue SERYTI</t>
        </is>
      </c>
      <c r="F41" s="6" t="inlineStr">
        <is>
          <t>Le HIRE de HW-CRU relie une déviation de commande sollicitée par la scène (Deceleration command, Steering command) au hazard de l'abstract (H2)</t>
        </is>
      </c>
      <c r="G41" s="6" t="inlineStr">
        <is>
          <t>H2 Front collision</t>
        </is>
      </c>
      <c r="H41" s="6" t="inlineStr">
        <is>
          <t>Deceleration command, Steering command</t>
        </is>
      </c>
      <c r="I41" s="6" t="n">
        <v>15</v>
      </c>
      <c r="J41" s="6" t="inlineStr">
        <is>
          <t>HW_ Lane-Centered Cruise_Insufficient Deceleration_01
HW_ Lane-Centered Cruise_Insufficient Deceleration_03
HW_ Lane-Centered Cruise_No Deceleration_01
HW_ Lane-Centered Cruise_No Deceleration_04
HW_ Lane-Centered Cruise_No Steering_02
HW_ Lane-Centered Cruise_Deceleration too late_01
HW_ Lane-Centered Cruise_Deceleration too late_02
HW_ Lane-Centered Cruise_Deceleration too late_03
HW_ Lane-Centered Cruise_No Deceleration_05
HW_ Lane-Centered Cruise_No Deceleration_07</t>
        </is>
      </c>
      <c r="K41" s="6" t="inlineStr">
        <is>
          <t>HFS-030</t>
        </is>
      </c>
      <c r="L41" s="6" t="inlineStr"/>
      <c r="M41" s="6" t="inlineStr">
        <is>
          <t>Vehicles — dense traffic / cut-in</t>
        </is>
      </c>
    </row>
    <row r="42">
      <c r="A42" s="6" t="inlineStr">
        <is>
          <t>CI-04</t>
        </is>
      </c>
      <c r="B42" s="6" t="inlineStr">
        <is>
          <t>Cut-in d'un véhicule plus lent</t>
        </is>
      </c>
      <c r="C42" s="6" t="inlineStr">
        <is>
          <t>HW-FOL</t>
        </is>
      </c>
      <c r="D42" s="16" t="inlineStr">
        <is>
          <t>justifié</t>
        </is>
      </c>
      <c r="E42" s="6" t="inlineStr">
        <is>
          <t>catalogue SERYTI</t>
        </is>
      </c>
      <c r="F42" s="6" t="inlineStr">
        <is>
          <t>Le HIRE de HW-FOL relie une déviation de commande sollicitée par la scène (Deceleration command, Steering command) au hazard de l'abstract (H2)</t>
        </is>
      </c>
      <c r="G42" s="6" t="inlineStr">
        <is>
          <t>H2 Front collision</t>
        </is>
      </c>
      <c r="H42" s="6" t="inlineStr">
        <is>
          <t>Deceleration command, Steering command</t>
        </is>
      </c>
      <c r="I42" s="6" t="n">
        <v>19</v>
      </c>
      <c r="J42" s="6" t="inlineStr">
        <is>
          <t>HW_ Lane-Centered Adaptive Follow_Deceleration too late_06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42" s="6" t="inlineStr">
        <is>
          <t>HFS-025</t>
        </is>
      </c>
      <c r="L42" s="6" t="inlineStr">
        <is>
          <t>Vehicles — dense traffic / cut-in</t>
        </is>
      </c>
      <c r="M42" s="6" t="inlineStr"/>
    </row>
    <row r="43">
      <c r="A43" s="6" t="inlineStr">
        <is>
          <t>CI-05</t>
        </is>
      </c>
      <c r="B43" s="6" t="inlineStr">
        <is>
          <t>Cut-in d'un semi-remorque</t>
        </is>
      </c>
      <c r="C43" s="6" t="inlineStr">
        <is>
          <t>HW-CRU</t>
        </is>
      </c>
      <c r="D43" s="16" t="inlineStr">
        <is>
          <t>justifié</t>
        </is>
      </c>
      <c r="E43" s="6" t="inlineStr">
        <is>
          <t>catalogue SERYTI</t>
        </is>
      </c>
      <c r="F43" s="6" t="inlineStr">
        <is>
          <t>Le HIRE de HW-CRU relie une déviation de commande sollicitée par la scène (Deceleration command, Steering command) au hazard de l'abstract (H2)</t>
        </is>
      </c>
      <c r="G43" s="6" t="inlineStr">
        <is>
          <t>H2 Front collision</t>
        </is>
      </c>
      <c r="H43" s="6" t="inlineStr">
        <is>
          <t>Deceleration command, Steering command</t>
        </is>
      </c>
      <c r="I43" s="6" t="n">
        <v>15</v>
      </c>
      <c r="J43" s="6" t="inlineStr">
        <is>
          <t>HW_ Lane-Centered Cruise_Insufficient Deceleration_01
HW_ Lane-Centered Cruise_Insufficient Deceleration_03
HW_ Lane-Centered Cruise_No Deceleration_01
HW_ Lane-Centered Cruise_No Deceleration_04
HW_ Lane-Centered Cruise_No Steering_02
HW_ Lane-Centered Cruise_Deceleration too late_01
HW_ Lane-Centered Cruise_Deceleration too late_02
HW_ Lane-Centered Cruise_Deceleration too late_03
HW_ Lane-Centered Cruise_No Deceleration_05
HW_ Lane-Centered Cruise_No Deceleration_07</t>
        </is>
      </c>
      <c r="K43" s="6" t="inlineStr">
        <is>
          <t>HFS-030</t>
        </is>
      </c>
      <c r="L43" s="6" t="inlineStr"/>
      <c r="M43" s="6" t="inlineStr">
        <is>
          <t>Vehicles — dense traffic / cut-in</t>
        </is>
      </c>
    </row>
    <row r="44">
      <c r="A44" s="6" t="inlineStr">
        <is>
          <t>CI-05</t>
        </is>
      </c>
      <c r="B44" s="6" t="inlineStr">
        <is>
          <t>Cut-in d'un semi-remorque</t>
        </is>
      </c>
      <c r="C44" s="6" t="inlineStr">
        <is>
          <t>HW-FOL</t>
        </is>
      </c>
      <c r="D44" s="16" t="inlineStr">
        <is>
          <t>justifié</t>
        </is>
      </c>
      <c r="E44" s="6" t="inlineStr">
        <is>
          <t>catalogue SERYTI</t>
        </is>
      </c>
      <c r="F44" s="6" t="inlineStr">
        <is>
          <t>Le HIRE de HW-FOL relie une déviation de commande sollicitée par la scène (Deceleration command, Steering command) au hazard de l'abstract (H2)</t>
        </is>
      </c>
      <c r="G44" s="6" t="inlineStr">
        <is>
          <t>H2 Front collision</t>
        </is>
      </c>
      <c r="H44" s="6" t="inlineStr">
        <is>
          <t>Deceleration command, Steering command</t>
        </is>
      </c>
      <c r="I44" s="6" t="n">
        <v>19</v>
      </c>
      <c r="J44" s="6" t="inlineStr">
        <is>
          <t>HW_ Lane-Centered Adaptive Follow_Deceleration too late_06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44" s="6" t="inlineStr">
        <is>
          <t>HFS-025</t>
        </is>
      </c>
      <c r="L44" s="6" t="inlineStr">
        <is>
          <t>Vehicles — dense traffic / cut-in</t>
        </is>
      </c>
      <c r="M44" s="6" t="inlineStr"/>
    </row>
    <row r="45">
      <c r="A45" s="6" t="inlineStr">
        <is>
          <t>CI-06</t>
        </is>
      </c>
      <c r="B45" s="6" t="inlineStr">
        <is>
          <t>Insertion depuis la bretelle devant le SDT</t>
        </is>
      </c>
      <c r="C45" s="6" t="inlineStr">
        <is>
          <t>HW-CRU</t>
        </is>
      </c>
      <c r="D45" s="16" t="inlineStr">
        <is>
          <t>justifié</t>
        </is>
      </c>
      <c r="E45" s="6" t="inlineStr">
        <is>
          <t>catalogue SERYTI</t>
        </is>
      </c>
      <c r="F45" s="6" t="inlineStr">
        <is>
          <t>Le HIRE de HW-CRU relie une déviation de commande sollicitée par la scène (Deceleration command, Steering command) au hazard de l'abstract (H1, H2)</t>
        </is>
      </c>
      <c r="G45" s="6" t="inlineStr">
        <is>
          <t>H1 Side collision, H2 Front collision</t>
        </is>
      </c>
      <c r="H45" s="6" t="inlineStr">
        <is>
          <t>Deceleration command, Steering command</t>
        </is>
      </c>
      <c r="I45" s="6" t="n">
        <v>48</v>
      </c>
      <c r="J45" s="6" t="inlineStr">
        <is>
          <t>HW_ Lane-Centered Cruise_Excessive Steering_01
HW_ Lane-Centered Cruise_Excessive Steering_02
HW_ Lane-Centered Cruise_Excessive Steering_04
HW_ Lane-Centered Cruise_Insufficient Deceleration_01
HW_ Lane-Centered Cruise_Insufficient Deceleration_03
HW_ Lane-Centered Cruise_Insufficient Steering_01
HW_ Lane-Centered Cruise_Insufficient Steering_04
HW_ Lane-Centered Cruise_No Deceleration_01
HW_ Lane-Centered Cruise_No Deceleration_02
HW_ Lane-Centered Cruise_No Deceleration_04</t>
        </is>
      </c>
      <c r="K45" s="6" t="inlineStr">
        <is>
          <t>HFS-029, HFS-030</t>
        </is>
      </c>
      <c r="L45" s="6" t="inlineStr"/>
      <c r="M45" s="6" t="inlineStr">
        <is>
          <t>Vehicles — dense traffic / cut-in</t>
        </is>
      </c>
    </row>
    <row r="46">
      <c r="A46" s="6" t="inlineStr">
        <is>
          <t>CI-06</t>
        </is>
      </c>
      <c r="B46" s="6" t="inlineStr">
        <is>
          <t>Insertion depuis la bretelle devant le SDT</t>
        </is>
      </c>
      <c r="C46" s="6" t="inlineStr">
        <is>
          <t>HW-FOL</t>
        </is>
      </c>
      <c r="D46" s="16" t="inlineStr">
        <is>
          <t>justifié</t>
        </is>
      </c>
      <c r="E46" s="6" t="inlineStr">
        <is>
          <t>catalogue SERYTI</t>
        </is>
      </c>
      <c r="F46" s="6" t="inlineStr">
        <is>
          <t>Le HIRE de HW-FOL relie une déviation de commande sollicitée par la scène (Deceleration command, Steering command) au hazard de l'abstract (H1, H2)</t>
        </is>
      </c>
      <c r="G46" s="6" t="inlineStr">
        <is>
          <t>H1 Side collision, H2 Front collision</t>
        </is>
      </c>
      <c r="H46" s="6" t="inlineStr">
        <is>
          <t>Deceleration command, Steering command</t>
        </is>
      </c>
      <c r="I46" s="6" t="n">
        <v>35</v>
      </c>
      <c r="J46" s="6" t="inlineStr">
        <is>
          <t>HW_ Lane-Centered Adaptive Follow_Deceleration too late_06
HW_ Lane-Centered Adaptive Follow_Excessive Steering_01
HW_ Lane-Centered Adaptive Follow_Excessive Steering_02
HW_ Lane-Centered Adaptive Follow_Excessive Steering_04
HW_ Lane-Centered Adaptive Follow_Insufficient Deceleration_01
HW_ Lane-Centered Adaptive Follow_Insufficient Deceleration_03
HW_ Lane-Centered Adaptive Follow_Insufficient Steering_01
HW_ Lane-Centered Adaptive Follow_Insufficient Steering_04
HW_ Lane-Centered Adaptive Follow_No Deceleration_01
HW_ Lane-Centered Adaptive Follow_No Deceleration_02</t>
        </is>
      </c>
      <c r="K46" s="6" t="inlineStr">
        <is>
          <t>HFS-024, HFS-025</t>
        </is>
      </c>
      <c r="L46" s="6" t="inlineStr">
        <is>
          <t>Vehicles — dense traffic / cut-in</t>
        </is>
      </c>
      <c r="M46" s="6" t="inlineStr"/>
    </row>
    <row r="47">
      <c r="A47" s="6" t="inlineStr">
        <is>
          <t>CI-07</t>
        </is>
      </c>
      <c r="B47" s="6" t="inlineStr">
        <is>
          <t>Brake-check après un rabattement</t>
        </is>
      </c>
      <c r="C47" s="6" t="inlineStr">
        <is>
          <t>HW-FOL</t>
        </is>
      </c>
      <c r="D47" s="16" t="inlineStr">
        <is>
          <t>justifié</t>
        </is>
      </c>
      <c r="E47" s="6" t="inlineStr">
        <is>
          <t>catalogue SERYTI</t>
        </is>
      </c>
      <c r="F47" s="6" t="inlineStr">
        <is>
          <t>Le HIRE de HW-FOL relie une déviation de commande sollicitée par la scène (Acceleration command, Deceleration command) au hazard de l'abstract (H2)</t>
        </is>
      </c>
      <c r="G47" s="6" t="inlineStr">
        <is>
          <t>H2 Front collision</t>
        </is>
      </c>
      <c r="H47" s="6" t="inlineStr">
        <is>
          <t>Acceleration command, Brake Lights command, Deceleration command</t>
        </is>
      </c>
      <c r="I47" s="6" t="n">
        <v>24</v>
      </c>
      <c r="J47"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47" s="6" t="inlineStr">
        <is>
          <t>HFS-025</t>
        </is>
      </c>
      <c r="L47" s="6" t="inlineStr"/>
      <c r="M47" s="6" t="inlineStr"/>
    </row>
    <row r="48">
      <c r="A48" s="6" t="inlineStr">
        <is>
          <t>CI-07</t>
        </is>
      </c>
      <c r="B48" s="6" t="inlineStr">
        <is>
          <t>Brake-check après un rabattement</t>
        </is>
      </c>
      <c r="C48" s="6" t="inlineStr">
        <is>
          <t>HW-ESL</t>
        </is>
      </c>
      <c r="D48" s="16" t="inlineStr">
        <is>
          <t>justifié</t>
        </is>
      </c>
      <c r="E48" s="6" t="inlineStr">
        <is>
          <t>catalogue SERYTI</t>
        </is>
      </c>
      <c r="F48" s="6" t="inlineStr">
        <is>
          <t>Le HIRE de HW-ESL relie une déviation de commande sollicitée par la scène (Acceleration command, Deceleration command) au hazard de l'abstract (H2)</t>
        </is>
      </c>
      <c r="G48" s="6" t="inlineStr">
        <is>
          <t>H2 Front collision</t>
        </is>
      </c>
      <c r="H48" s="6" t="inlineStr">
        <is>
          <t>Acceleration command, Brake Lights command, Deceleration command, Hazard Lights command</t>
        </is>
      </c>
      <c r="I48" s="6" t="n">
        <v>4</v>
      </c>
      <c r="J48" s="6" t="inlineStr">
        <is>
          <t>HW_ Emergency Stop in Lane_Excessive Acceleration_01
HW_ Emergency Stop in Lane_No Deceleration_01
HW_ Emergency Stop in Lane_No Deceleration_03
HW_ Emergency Stop in Lane_Unintended Acceleration_01</t>
        </is>
      </c>
      <c r="K48" s="6" t="inlineStr">
        <is>
          <t>HFS-015</t>
        </is>
      </c>
      <c r="L48" s="6" t="inlineStr"/>
      <c r="M48" s="6" t="inlineStr"/>
    </row>
    <row r="49">
      <c r="A49" s="6" t="inlineStr">
        <is>
          <t>CI-08</t>
        </is>
      </c>
      <c r="B49" s="6" t="inlineStr">
        <is>
          <t>Deux véhicules se rabattent l'un après l'autre</t>
        </is>
      </c>
      <c r="C49" s="6" t="inlineStr">
        <is>
          <t>HW-CRU</t>
        </is>
      </c>
      <c r="D49" s="16" t="inlineStr">
        <is>
          <t>justifié</t>
        </is>
      </c>
      <c r="E49" s="6" t="inlineStr">
        <is>
          <t>catalogue SERYTI</t>
        </is>
      </c>
      <c r="F49" s="6" t="inlineStr">
        <is>
          <t>Le HIRE de HW-CRU relie une déviation de commande sollicitée par la scène (Deceleration command, Steering command) au hazard de l'abstract (H2)</t>
        </is>
      </c>
      <c r="G49" s="6" t="inlineStr">
        <is>
          <t>H2 Front collision</t>
        </is>
      </c>
      <c r="H49" s="6" t="inlineStr">
        <is>
          <t>Deceleration command, Steering command</t>
        </is>
      </c>
      <c r="I49" s="6" t="n">
        <v>15</v>
      </c>
      <c r="J49" s="6" t="inlineStr">
        <is>
          <t>HW_ Lane-Centered Cruise_Insufficient Deceleration_01
HW_ Lane-Centered Cruise_Insufficient Deceleration_03
HW_ Lane-Centered Cruise_No Deceleration_01
HW_ Lane-Centered Cruise_No Deceleration_04
HW_ Lane-Centered Cruise_No Steering_02
HW_ Lane-Centered Cruise_Deceleration too late_01
HW_ Lane-Centered Cruise_Deceleration too late_02
HW_ Lane-Centered Cruise_Deceleration too late_03
HW_ Lane-Centered Cruise_No Deceleration_05
HW_ Lane-Centered Cruise_No Deceleration_07</t>
        </is>
      </c>
      <c r="K49" s="6" t="inlineStr">
        <is>
          <t>HFS-030</t>
        </is>
      </c>
      <c r="L49" s="6" t="inlineStr"/>
      <c r="M49" s="6" t="inlineStr">
        <is>
          <t>Vehicles — dense traffic / cut-in</t>
        </is>
      </c>
    </row>
    <row r="50">
      <c r="A50" s="6" t="inlineStr">
        <is>
          <t>CI-08</t>
        </is>
      </c>
      <c r="B50" s="6" t="inlineStr">
        <is>
          <t>Deux véhicules se rabattent l'un après l'autre</t>
        </is>
      </c>
      <c r="C50" s="6" t="inlineStr">
        <is>
          <t>HW-FOL</t>
        </is>
      </c>
      <c r="D50" s="16" t="inlineStr">
        <is>
          <t>justifié</t>
        </is>
      </c>
      <c r="E50" s="6" t="inlineStr">
        <is>
          <t>catalogue SERYTI</t>
        </is>
      </c>
      <c r="F50" s="6" t="inlineStr">
        <is>
          <t>Le HIRE de HW-FOL relie une déviation de commande sollicitée par la scène (Deceleration command, Steering command) au hazard de l'abstract (H2)</t>
        </is>
      </c>
      <c r="G50" s="6" t="inlineStr">
        <is>
          <t>H2 Front collision</t>
        </is>
      </c>
      <c r="H50" s="6" t="inlineStr">
        <is>
          <t>Deceleration command, Steering command</t>
        </is>
      </c>
      <c r="I50" s="6" t="n">
        <v>19</v>
      </c>
      <c r="J50" s="6" t="inlineStr">
        <is>
          <t>HW_ Lane-Centered Adaptive Follow_Deceleration too late_06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50" s="6" t="inlineStr">
        <is>
          <t>HFS-025</t>
        </is>
      </c>
      <c r="L50" s="6" t="inlineStr">
        <is>
          <t>Vehicles — dense traffic / cut-in</t>
        </is>
      </c>
      <c r="M50" s="6" t="inlineStr"/>
    </row>
    <row r="51">
      <c r="A51" s="6" t="inlineStr">
        <is>
          <t>ADJ-01</t>
        </is>
      </c>
      <c r="B51" s="6" t="inlineStr">
        <is>
          <t>Véhicule adjacent qui dérive vers le SDT</t>
        </is>
      </c>
      <c r="C51" s="6" t="inlineStr">
        <is>
          <t>HW-CRU</t>
        </is>
      </c>
      <c r="D51" s="16" t="inlineStr">
        <is>
          <t>justifié</t>
        </is>
      </c>
      <c r="E51" s="6" t="inlineStr">
        <is>
          <t>catalogue SERYTI</t>
        </is>
      </c>
      <c r="F51" s="6" t="inlineStr">
        <is>
          <t>Le HIRE de HW-CRU relie une déviation de commande sollicitée par la scène (Steering command) au hazard de l'abstract (H1)</t>
        </is>
      </c>
      <c r="G51" s="6" t="inlineStr">
        <is>
          <t>H1 Side collision</t>
        </is>
      </c>
      <c r="H51" s="6" t="inlineStr">
        <is>
          <t>Steering command</t>
        </is>
      </c>
      <c r="I51" s="6" t="n">
        <v>31</v>
      </c>
      <c r="J51" s="6" t="inlineStr">
        <is>
          <t>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
HW_ Lane-Centered Cruise_Steering in opposite direction_01</t>
        </is>
      </c>
      <c r="K51" s="6" t="inlineStr">
        <is>
          <t>HFS-029</t>
        </is>
      </c>
      <c r="L51" s="6" t="inlineStr"/>
      <c r="M51" s="6" t="inlineStr"/>
    </row>
    <row r="52">
      <c r="A52" s="6" t="inlineStr">
        <is>
          <t>ADJ-01</t>
        </is>
      </c>
      <c r="B52" s="6" t="inlineStr">
        <is>
          <t>Véhicule adjacent qui dérive vers le SDT</t>
        </is>
      </c>
      <c r="C52" s="6" t="inlineStr">
        <is>
          <t>HW-FOL</t>
        </is>
      </c>
      <c r="D52" s="16" t="inlineStr">
        <is>
          <t>justifié</t>
        </is>
      </c>
      <c r="E52" s="6" t="inlineStr">
        <is>
          <t>catalogue SERYTI</t>
        </is>
      </c>
      <c r="F52" s="6" t="inlineStr">
        <is>
          <t>Le HIRE de HW-FOL relie une déviation de commande sollicitée par la scène (Steering command) au hazard de l'abstract (H1)</t>
        </is>
      </c>
      <c r="G52" s="6" t="inlineStr">
        <is>
          <t>H1 Side collision</t>
        </is>
      </c>
      <c r="H52" s="6" t="inlineStr">
        <is>
          <t>Steering command</t>
        </is>
      </c>
      <c r="I52" s="6" t="n">
        <v>15</v>
      </c>
      <c r="J52"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52" s="6" t="inlineStr">
        <is>
          <t>HFS-024</t>
        </is>
      </c>
      <c r="L52" s="6" t="inlineStr"/>
      <c r="M52" s="6" t="inlineStr"/>
    </row>
    <row r="53">
      <c r="A53" s="6" t="inlineStr">
        <is>
          <t>ADJ-01</t>
        </is>
      </c>
      <c r="B53" s="6" t="inlineStr">
        <is>
          <t>Véhicule adjacent qui dérive vers le SDT</t>
        </is>
      </c>
      <c r="C53" s="6" t="inlineStr">
        <is>
          <t>HW-ELM</t>
        </is>
      </c>
      <c r="D53" s="16" t="inlineStr">
        <is>
          <t>justifié</t>
        </is>
      </c>
      <c r="E53" s="6" t="inlineStr">
        <is>
          <t>catalogue SERYTI</t>
        </is>
      </c>
      <c r="F53" s="6" t="inlineStr">
        <is>
          <t>Le HIRE de HW-ELM relie une déviation de commande sollicitée par la scène (Steering command) au hazard de l'abstract (H1)</t>
        </is>
      </c>
      <c r="G53" s="6" t="inlineStr">
        <is>
          <t>H1 Side collision</t>
        </is>
      </c>
      <c r="H53" s="6" t="inlineStr">
        <is>
          <t>Brake Lights command, Hazard Lights command, Steering command, Turn Signal command</t>
        </is>
      </c>
      <c r="I53" s="6" t="n">
        <v>12</v>
      </c>
      <c r="J53" s="6" t="inlineStr">
        <is>
          <t>HW_ Emergency Lateral Motion_Excessive Steering_01
HW_ Emergency Lateral Motion_Excessive Steering_02
HW_ Emergency Lateral Motion_Insufficient Steering_01
HW_ Emergency Lateral Motion_Insufficient Steering_02
HW_ Emergency Lateral Motion_No Steering_01
HW_ Emergency Lateral Motion_No Steering_02
HW_ Emergency Lateral Motion_Steering for too long / stuck_01
HW_ Emergency Lateral Motion_Steering for too long / stuck_02
HW_ Emergency Lateral Motion_Steering in opposite direction_01
HW_ Emergency Lateral Motion_Steering in opposite direction_02</t>
        </is>
      </c>
      <c r="K53" s="6" t="inlineStr">
        <is>
          <t>HFS-008</t>
        </is>
      </c>
      <c r="L53" s="6" t="inlineStr"/>
      <c r="M53" s="6" t="inlineStr"/>
    </row>
    <row r="54">
      <c r="A54" s="6" t="inlineStr">
        <is>
          <t>ADJ-02</t>
        </is>
      </c>
      <c r="B54" s="6" t="inlineStr">
        <is>
          <t>Semi adjacent dont la remorque louvoie</t>
        </is>
      </c>
      <c r="C54" s="6" t="inlineStr">
        <is>
          <t>HW-CRU</t>
        </is>
      </c>
      <c r="D54" s="16" t="inlineStr">
        <is>
          <t>justifié</t>
        </is>
      </c>
      <c r="E54" s="6" t="inlineStr">
        <is>
          <t>catalogue SERYTI</t>
        </is>
      </c>
      <c r="F54" s="6" t="inlineStr">
        <is>
          <t>Le HIRE de HW-CRU relie une déviation de commande sollicitée par la scène (Steering command) au hazard de l'abstract (H1)</t>
        </is>
      </c>
      <c r="G54" s="6" t="inlineStr">
        <is>
          <t>H1 Side collision</t>
        </is>
      </c>
      <c r="H54" s="6" t="inlineStr">
        <is>
          <t>Steering command</t>
        </is>
      </c>
      <c r="I54" s="6" t="n">
        <v>31</v>
      </c>
      <c r="J54" s="6" t="inlineStr">
        <is>
          <t>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
HW_ Lane-Centered Cruise_Steering in opposite direction_01</t>
        </is>
      </c>
      <c r="K54" s="6" t="inlineStr">
        <is>
          <t>HFS-029</t>
        </is>
      </c>
      <c r="L54" s="6" t="inlineStr"/>
      <c r="M54" s="6" t="inlineStr"/>
    </row>
    <row r="55">
      <c r="A55" s="6" t="inlineStr">
        <is>
          <t>ADJ-02</t>
        </is>
      </c>
      <c r="B55" s="6" t="inlineStr">
        <is>
          <t>Semi adjacent dont la remorque louvoie</t>
        </is>
      </c>
      <c r="C55" s="6" t="inlineStr">
        <is>
          <t>HW-FOL</t>
        </is>
      </c>
      <c r="D55" s="16" t="inlineStr">
        <is>
          <t>justifié</t>
        </is>
      </c>
      <c r="E55" s="6" t="inlineStr">
        <is>
          <t>catalogue SERYTI</t>
        </is>
      </c>
      <c r="F55" s="6" t="inlineStr">
        <is>
          <t>Le HIRE de HW-FOL relie une déviation de commande sollicitée par la scène (Steering command) au hazard de l'abstract (H1)</t>
        </is>
      </c>
      <c r="G55" s="6" t="inlineStr">
        <is>
          <t>H1 Side collision</t>
        </is>
      </c>
      <c r="H55" s="6" t="inlineStr">
        <is>
          <t>Steering command</t>
        </is>
      </c>
      <c r="I55" s="6" t="n">
        <v>15</v>
      </c>
      <c r="J55"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55" s="6" t="inlineStr">
        <is>
          <t>HFS-024</t>
        </is>
      </c>
      <c r="L55" s="6" t="inlineStr"/>
      <c r="M55" s="6" t="inlineStr"/>
    </row>
    <row r="56">
      <c r="A56" s="6" t="inlineStr">
        <is>
          <t>ADJ-03</t>
        </is>
      </c>
      <c r="B56" s="6" t="inlineStr">
        <is>
          <t>Moto qui remonte les files</t>
        </is>
      </c>
      <c r="C56" s="6" t="inlineStr">
        <is>
          <t>HW-CRU</t>
        </is>
      </c>
      <c r="D56" s="16" t="inlineStr">
        <is>
          <t>justifié</t>
        </is>
      </c>
      <c r="E56" s="6" t="inlineStr">
        <is>
          <t>catalogue SERYTI</t>
        </is>
      </c>
      <c r="F56" s="6" t="inlineStr">
        <is>
          <t>Le HIRE de HW-CRU relie une déviation de commande sollicitée par la scène (Steering command) au hazard de l'abstract (H1)</t>
        </is>
      </c>
      <c r="G56" s="6" t="inlineStr">
        <is>
          <t>H1 Side collision</t>
        </is>
      </c>
      <c r="H56" s="6" t="inlineStr">
        <is>
          <t>Steering command</t>
        </is>
      </c>
      <c r="I56" s="6" t="n">
        <v>31</v>
      </c>
      <c r="J56" s="6" t="inlineStr">
        <is>
          <t>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
HW_ Lane-Centered Cruise_Steering in opposite direction_01</t>
        </is>
      </c>
      <c r="K56" s="6" t="inlineStr">
        <is>
          <t>HFS-029</t>
        </is>
      </c>
      <c r="L56" s="6" t="inlineStr"/>
      <c r="M56" s="6" t="inlineStr"/>
    </row>
    <row r="57">
      <c r="A57" s="6" t="inlineStr">
        <is>
          <t>ADJ-03</t>
        </is>
      </c>
      <c r="B57" s="6" t="inlineStr">
        <is>
          <t>Moto qui remonte les files</t>
        </is>
      </c>
      <c r="C57" s="6" t="inlineStr">
        <is>
          <t>HW-FOL</t>
        </is>
      </c>
      <c r="D57" s="16" t="inlineStr">
        <is>
          <t>justifié</t>
        </is>
      </c>
      <c r="E57" s="6" t="inlineStr">
        <is>
          <t>catalogue SERYTI</t>
        </is>
      </c>
      <c r="F57" s="6" t="inlineStr">
        <is>
          <t>Le HIRE de HW-FOL relie une déviation de commande sollicitée par la scène (Steering command) au hazard de l'abstract (H1)</t>
        </is>
      </c>
      <c r="G57" s="6" t="inlineStr">
        <is>
          <t>H1 Side collision</t>
        </is>
      </c>
      <c r="H57" s="6" t="inlineStr">
        <is>
          <t>Steering command</t>
        </is>
      </c>
      <c r="I57" s="6" t="n">
        <v>15</v>
      </c>
      <c r="J57"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57" s="6" t="inlineStr">
        <is>
          <t>HFS-024</t>
        </is>
      </c>
      <c r="L57" s="6" t="inlineStr"/>
      <c r="M57" s="6" t="inlineStr"/>
    </row>
    <row r="58">
      <c r="A58" s="6" t="inlineStr">
        <is>
          <t>ADJ-04</t>
        </is>
      </c>
      <c r="B58" s="6" t="inlineStr">
        <is>
          <t>Dépassement rapide et serré</t>
        </is>
      </c>
      <c r="C58" s="6" t="inlineStr">
        <is>
          <t>HW-CRU</t>
        </is>
      </c>
      <c r="D58" s="16" t="inlineStr">
        <is>
          <t>justifié</t>
        </is>
      </c>
      <c r="E58" s="6" t="inlineStr">
        <is>
          <t>catalogue SERYTI</t>
        </is>
      </c>
      <c r="F58" s="6" t="inlineStr">
        <is>
          <t>Le HIRE de HW-CRU relie une déviation de commande sollicitée par la scène (Steering command) au hazard de l'abstract (H1)</t>
        </is>
      </c>
      <c r="G58" s="6" t="inlineStr">
        <is>
          <t>H1 Side collision</t>
        </is>
      </c>
      <c r="H58" s="6" t="inlineStr">
        <is>
          <t>Steering command</t>
        </is>
      </c>
      <c r="I58" s="6" t="n">
        <v>31</v>
      </c>
      <c r="J58" s="6" t="inlineStr">
        <is>
          <t>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
HW_ Lane-Centered Cruise_Steering in opposite direction_01</t>
        </is>
      </c>
      <c r="K58" s="6" t="inlineStr">
        <is>
          <t>HFS-029</t>
        </is>
      </c>
      <c r="L58" s="6" t="inlineStr"/>
      <c r="M58" s="6" t="inlineStr"/>
    </row>
    <row r="59">
      <c r="A59" s="6" t="inlineStr">
        <is>
          <t>ADJ-04</t>
        </is>
      </c>
      <c r="B59" s="6" t="inlineStr">
        <is>
          <t>Dépassement rapide et serré</t>
        </is>
      </c>
      <c r="C59" s="6" t="inlineStr">
        <is>
          <t>HW-FOL</t>
        </is>
      </c>
      <c r="D59" s="16" t="inlineStr">
        <is>
          <t>justifié</t>
        </is>
      </c>
      <c r="E59" s="6" t="inlineStr">
        <is>
          <t>catalogue SERYTI</t>
        </is>
      </c>
      <c r="F59" s="6" t="inlineStr">
        <is>
          <t>Le HIRE de HW-FOL relie une déviation de commande sollicitée par la scène (Steering command) au hazard de l'abstract (H1)</t>
        </is>
      </c>
      <c r="G59" s="6" t="inlineStr">
        <is>
          <t>H1 Side collision</t>
        </is>
      </c>
      <c r="H59" s="6" t="inlineStr">
        <is>
          <t>Steering command</t>
        </is>
      </c>
      <c r="I59" s="6" t="n">
        <v>15</v>
      </c>
      <c r="J59"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59" s="6" t="inlineStr">
        <is>
          <t>HFS-024</t>
        </is>
      </c>
      <c r="L59" s="6" t="inlineStr"/>
      <c r="M59" s="6" t="inlineStr"/>
    </row>
    <row r="60">
      <c r="A60" s="6" t="inlineStr">
        <is>
          <t>ADJ-05</t>
        </is>
      </c>
      <c r="B60" s="6" t="inlineStr">
        <is>
          <t>Convoi lent dans la voie adjacente</t>
        </is>
      </c>
      <c r="C60" s="6" t="inlineStr">
        <is>
          <t>HW-CRU</t>
        </is>
      </c>
      <c r="D60" s="16" t="inlineStr">
        <is>
          <t>justifié</t>
        </is>
      </c>
      <c r="E60" s="6" t="inlineStr">
        <is>
          <t>catalogue SERYTI</t>
        </is>
      </c>
      <c r="F60" s="6" t="inlineStr">
        <is>
          <t>Le HIRE de HW-CRU relie une déviation de commande sollicitée par la scène (Steering command) au hazard de l'abstract (H1)</t>
        </is>
      </c>
      <c r="G60" s="6" t="inlineStr">
        <is>
          <t>H1 Side collision</t>
        </is>
      </c>
      <c r="H60" s="6" t="inlineStr">
        <is>
          <t>Steering command</t>
        </is>
      </c>
      <c r="I60" s="6" t="n">
        <v>31</v>
      </c>
      <c r="J60" s="6" t="inlineStr">
        <is>
          <t>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
HW_ Lane-Centered Cruise_Steering in opposite direction_01</t>
        </is>
      </c>
      <c r="K60" s="6" t="inlineStr">
        <is>
          <t>HFS-029</t>
        </is>
      </c>
      <c r="L60" s="6" t="inlineStr"/>
      <c r="M60" s="6" t="inlineStr"/>
    </row>
    <row r="61">
      <c r="A61" s="6" t="inlineStr">
        <is>
          <t>ADJ-05</t>
        </is>
      </c>
      <c r="B61" s="6" t="inlineStr">
        <is>
          <t>Convoi lent dans la voie adjacente</t>
        </is>
      </c>
      <c r="C61" s="6" t="inlineStr">
        <is>
          <t>HW-FOL</t>
        </is>
      </c>
      <c r="D61" s="16" t="inlineStr">
        <is>
          <t>justifié</t>
        </is>
      </c>
      <c r="E61" s="6" t="inlineStr">
        <is>
          <t>catalogue SERYTI</t>
        </is>
      </c>
      <c r="F61" s="6" t="inlineStr">
        <is>
          <t>Le HIRE de HW-FOL relie une déviation de commande sollicitée par la scène (Steering command) au hazard de l'abstract (H1)</t>
        </is>
      </c>
      <c r="G61" s="6" t="inlineStr">
        <is>
          <t>H1 Side collision</t>
        </is>
      </c>
      <c r="H61" s="6" t="inlineStr">
        <is>
          <t>Steering command</t>
        </is>
      </c>
      <c r="I61" s="6" t="n">
        <v>15</v>
      </c>
      <c r="J61"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61" s="6" t="inlineStr">
        <is>
          <t>HFS-024</t>
        </is>
      </c>
      <c r="L61" s="6" t="inlineStr"/>
      <c r="M61" s="6" t="inlineStr"/>
    </row>
    <row r="62">
      <c r="A62" s="6" t="inlineStr">
        <is>
          <t>ADJ-05</t>
        </is>
      </c>
      <c r="B62" s="6" t="inlineStr">
        <is>
          <t>Convoi lent dans la voie adjacente</t>
        </is>
      </c>
      <c r="C62" s="6" t="inlineStr">
        <is>
          <t>HW-LC</t>
        </is>
      </c>
      <c r="D62" s="16" t="inlineStr">
        <is>
          <t>justifié</t>
        </is>
      </c>
      <c r="E62" s="6" t="inlineStr">
        <is>
          <t>catalogue SERYTI</t>
        </is>
      </c>
      <c r="F62" s="6" t="inlineStr">
        <is>
          <t>Le HIRE de HW-LC relie une déviation de commande sollicitée par la scène (Acceleration command, Steering command, Turn Signal command) au hazard de l'abstract (H1)</t>
        </is>
      </c>
      <c r="G62" s="6" t="inlineStr">
        <is>
          <t>H1 Side collision</t>
        </is>
      </c>
      <c r="H62" s="6" t="inlineStr">
        <is>
          <t>Acceleration command, Steering command, Turn Signal command</t>
        </is>
      </c>
      <c r="I62" s="6" t="n">
        <v>23</v>
      </c>
      <c r="J62" s="6" t="inlineStr">
        <is>
          <t>HW_ Lane Changes / Overtaking_Excessive Steering_01
HW_ Lane Changes / Overtaking_Excessive Steering_02
HW_ Lane Changes / Overtaking_Excessive Steering_04
HW_ Lane Changes / Overtaking_Insufficient Steering_01
HW_ Lane Changes / Overtaking_Insufficient Steering_04
HW_ Lane Changes / Overtaking_No Acceleration_02
HW_ Lane Changes / Overtaking_No Steering_01
HW_ Lane Changes / Overtaking_No Steering_04
HW_ Lane Changes / Overtaking_No Turn Signal_01
HW_ Lane Changes / Overtaking_No Turn Signal_02</t>
        </is>
      </c>
      <c r="K62" s="6" t="inlineStr">
        <is>
          <t>HFS-019</t>
        </is>
      </c>
      <c r="L62" s="6" t="inlineStr"/>
      <c r="M62" s="6" t="inlineStr"/>
    </row>
    <row r="63">
      <c r="A63" s="6" t="inlineStr">
        <is>
          <t>ADJ-06</t>
        </is>
      </c>
      <c r="B63" s="6" t="inlineStr">
        <is>
          <t>Véhicule adjacent qui serre la ligne (lane hugger)</t>
        </is>
      </c>
      <c r="C63" s="6" t="inlineStr">
        <is>
          <t>HW-CRU</t>
        </is>
      </c>
      <c r="D63" s="16" t="inlineStr">
        <is>
          <t>justifié</t>
        </is>
      </c>
      <c r="E63" s="6" t="inlineStr">
        <is>
          <t>catalogue SERYTI</t>
        </is>
      </c>
      <c r="F63" s="6" t="inlineStr">
        <is>
          <t>Le HIRE de HW-CRU relie une déviation de commande sollicitée par la scène (Steering command) au hazard de l'abstract (H1)</t>
        </is>
      </c>
      <c r="G63" s="6" t="inlineStr">
        <is>
          <t>H1 Side collision</t>
        </is>
      </c>
      <c r="H63" s="6" t="inlineStr">
        <is>
          <t>Steering command</t>
        </is>
      </c>
      <c r="I63" s="6" t="n">
        <v>31</v>
      </c>
      <c r="J63" s="6" t="inlineStr">
        <is>
          <t>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
HW_ Lane-Centered Cruise_Steering in opposite direction_01</t>
        </is>
      </c>
      <c r="K63" s="6" t="inlineStr">
        <is>
          <t>HFS-029</t>
        </is>
      </c>
      <c r="L63" s="6" t="inlineStr"/>
      <c r="M63" s="6" t="inlineStr"/>
    </row>
    <row r="64">
      <c r="A64" s="6" t="inlineStr">
        <is>
          <t>ADJ-06</t>
        </is>
      </c>
      <c r="B64" s="6" t="inlineStr">
        <is>
          <t>Véhicule adjacent qui serre la ligne (lane hugger)</t>
        </is>
      </c>
      <c r="C64" s="6" t="inlineStr">
        <is>
          <t>HW-FOL</t>
        </is>
      </c>
      <c r="D64" s="16" t="inlineStr">
        <is>
          <t>justifié</t>
        </is>
      </c>
      <c r="E64" s="6" t="inlineStr">
        <is>
          <t>catalogue SERYTI</t>
        </is>
      </c>
      <c r="F64" s="6" t="inlineStr">
        <is>
          <t>Le HIRE de HW-FOL relie une déviation de commande sollicitée par la scène (Steering command) au hazard de l'abstract (H1)</t>
        </is>
      </c>
      <c r="G64" s="6" t="inlineStr">
        <is>
          <t>H1 Side collision</t>
        </is>
      </c>
      <c r="H64" s="6" t="inlineStr">
        <is>
          <t>Steering command</t>
        </is>
      </c>
      <c r="I64" s="6" t="n">
        <v>15</v>
      </c>
      <c r="J64"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64" s="6" t="inlineStr">
        <is>
          <t>HFS-024</t>
        </is>
      </c>
      <c r="L64" s="6" t="inlineStr"/>
      <c r="M64" s="6" t="inlineStr"/>
    </row>
    <row r="65">
      <c r="A65" s="6" t="inlineStr">
        <is>
          <t>ADJ-06</t>
        </is>
      </c>
      <c r="B65" s="6" t="inlineStr">
        <is>
          <t>Véhicule adjacent qui serre la ligne (lane hugger)</t>
        </is>
      </c>
      <c r="C65" s="6" t="inlineStr">
        <is>
          <t>HW-LC</t>
        </is>
      </c>
      <c r="D65" s="16" t="inlineStr">
        <is>
          <t>justifié</t>
        </is>
      </c>
      <c r="E65" s="6" t="inlineStr">
        <is>
          <t>catalogue SERYTI</t>
        </is>
      </c>
      <c r="F65" s="6" t="inlineStr">
        <is>
          <t>Le HIRE de HW-LC relie une déviation de commande sollicitée par la scène (Acceleration command, Steering command, Turn Signal command) au hazard de l'abstract (H1)</t>
        </is>
      </c>
      <c r="G65" s="6" t="inlineStr">
        <is>
          <t>H1 Side collision</t>
        </is>
      </c>
      <c r="H65" s="6" t="inlineStr">
        <is>
          <t>Acceleration command, Steering command, Turn Signal command</t>
        </is>
      </c>
      <c r="I65" s="6" t="n">
        <v>23</v>
      </c>
      <c r="J65" s="6" t="inlineStr">
        <is>
          <t>HW_ Lane Changes / Overtaking_Excessive Steering_01
HW_ Lane Changes / Overtaking_Excessive Steering_02
HW_ Lane Changes / Overtaking_Excessive Steering_04
HW_ Lane Changes / Overtaking_Insufficient Steering_01
HW_ Lane Changes / Overtaking_Insufficient Steering_04
HW_ Lane Changes / Overtaking_No Acceleration_02
HW_ Lane Changes / Overtaking_No Steering_01
HW_ Lane Changes / Overtaking_No Steering_04
HW_ Lane Changes / Overtaking_No Turn Signal_01
HW_ Lane Changes / Overtaking_No Turn Signal_02</t>
        </is>
      </c>
      <c r="K65" s="6" t="inlineStr">
        <is>
          <t>HFS-019</t>
        </is>
      </c>
      <c r="L65" s="6" t="inlineStr"/>
      <c r="M65" s="6" t="inlineStr"/>
    </row>
    <row r="66">
      <c r="A66" s="6" t="inlineStr">
        <is>
          <t>ADJ-07</t>
        </is>
      </c>
      <c r="B66" s="6" t="inlineStr">
        <is>
          <t>File de véhicules arrêtés dans la voie adjacente</t>
        </is>
      </c>
      <c r="C66" s="6" t="inlineStr">
        <is>
          <t>HW-CRU</t>
        </is>
      </c>
      <c r="D66" s="16" t="inlineStr">
        <is>
          <t>justifié</t>
        </is>
      </c>
      <c r="E66" s="6" t="inlineStr">
        <is>
          <t>catalogue SERYTI</t>
        </is>
      </c>
      <c r="F66" s="6" t="inlineStr">
        <is>
          <t>Le HIRE de HW-CRU relie une déviation de commande sollicitée par la scène (Deceleration command, Steering command) au hazard de l'abstract (H1, H2)</t>
        </is>
      </c>
      <c r="G66" s="6" t="inlineStr">
        <is>
          <t>H1 Side collision, H2 Front collision</t>
        </is>
      </c>
      <c r="H66" s="6" t="inlineStr">
        <is>
          <t>Brake Lights command, Deceleration command, Steering command</t>
        </is>
      </c>
      <c r="I66" s="6" t="n">
        <v>48</v>
      </c>
      <c r="J66" s="6" t="inlineStr">
        <is>
          <t>HW_ Lane-Centered Cruise_Deceleration too late_03
HW_ Lane-Centered Cruise_No Steering_11
HW_ Lane-Centered Cruise_Excessive Steering_01
HW_ Lane-Centered Cruise_Excessive Steering_02
HW_ Lane-Centered Cruise_Excessive Steering_04
HW_ Lane-Centered Cruise_Insufficient Deceleration_01
HW_ Lane-Centered Cruise_Insufficient Deceleration_03
HW_ Lane-Centered Cruise_Insufficient Steering_01
HW_ Lane-Centered Cruise_Insufficient Steering_04
HW_ Lane-Centered Cruise_No Deceleration_01</t>
        </is>
      </c>
      <c r="K66" s="6" t="inlineStr">
        <is>
          <t>HFS-029, HFS-030</t>
        </is>
      </c>
      <c r="L66" s="6" t="inlineStr">
        <is>
          <t>[Out-of-ODD] Disabled / stopped vehicle in lane or shoulder</t>
        </is>
      </c>
      <c r="M66" s="6" t="inlineStr"/>
    </row>
    <row r="67">
      <c r="A67" s="6" t="inlineStr">
        <is>
          <t>ADJ-07</t>
        </is>
      </c>
      <c r="B67" s="6" t="inlineStr">
        <is>
          <t>File de véhicules arrêtés dans la voie adjacente</t>
        </is>
      </c>
      <c r="C67" s="6" t="inlineStr">
        <is>
          <t>HW-FOL</t>
        </is>
      </c>
      <c r="D67" s="16" t="inlineStr">
        <is>
          <t>justifié</t>
        </is>
      </c>
      <c r="E67" s="6" t="inlineStr">
        <is>
          <t>catalogue SERYTI</t>
        </is>
      </c>
      <c r="F67" s="6" t="inlineStr">
        <is>
          <t>Le HIRE de HW-FOL relie une déviation de commande sollicitée par la scène (Deceleration command, Steering command) au hazard de l'abstract (H1, H2)</t>
        </is>
      </c>
      <c r="G67" s="6" t="inlineStr">
        <is>
          <t>H1 Side collision, H2 Front collision</t>
        </is>
      </c>
      <c r="H67" s="6" t="inlineStr">
        <is>
          <t>Brake Lights command, Deceleration command, Steering command</t>
        </is>
      </c>
      <c r="I67" s="6" t="n">
        <v>35</v>
      </c>
      <c r="J67" s="6" t="inlineStr">
        <is>
          <t>HW_ Lane-Centered Adaptive Follow_Excessive Steering_01
HW_ Lane-Centered Adaptive Follow_Excessive Steering_02
HW_ Lane-Centered Adaptive Follow_Excessive Steering_04
HW_ Lane-Centered Adaptive Follow_Insufficient Deceleration_01
HW_ Lane-Centered Adaptive Follow_Insufficient Deceleration_03
HW_ Lane-Centered Adaptive Follow_Insufficient Steering_01
HW_ Lane-Centered Adaptive Follow_Insufficient Steering_04
HW_ Lane-Centered Adaptive Follow_No Deceleration_01
HW_ Lane-Centered Adaptive Follow_No Deceleration_02
HW_ Lane-Centered Adaptive Follow_No Deceleration_04</t>
        </is>
      </c>
      <c r="K67" s="6" t="inlineStr">
        <is>
          <t>HFS-024, HFS-025</t>
        </is>
      </c>
      <c r="L67" s="6" t="inlineStr"/>
      <c r="M67" s="6" t="inlineStr">
        <is>
          <t>[Out-of-ODD] Disabled / stopped vehicle in lane or shoulder</t>
        </is>
      </c>
    </row>
    <row r="68">
      <c r="A68" s="6" t="inlineStr">
        <is>
          <t>ADJ-07</t>
        </is>
      </c>
      <c r="B68" s="6" t="inlineStr">
        <is>
          <t>File de véhicules arrêtés dans la voie adjacente</t>
        </is>
      </c>
      <c r="C68" s="6" t="inlineStr">
        <is>
          <t>HW-LC</t>
        </is>
      </c>
      <c r="D68" s="16" t="inlineStr">
        <is>
          <t>justifié</t>
        </is>
      </c>
      <c r="E68" s="6" t="inlineStr">
        <is>
          <t>catalogue SERYTI</t>
        </is>
      </c>
      <c r="F68" s="6" t="inlineStr">
        <is>
          <t>Le HIRE de HW-LC relie une déviation de commande sollicitée par la scène (Acceleration command, Deceleration command, Steering command, Turn Signal command) au hazard de l'abstract (H1, H2)</t>
        </is>
      </c>
      <c r="G68" s="6" t="inlineStr">
        <is>
          <t>H1 Side collision, H2 Front collision</t>
        </is>
      </c>
      <c r="H68" s="6" t="inlineStr">
        <is>
          <t>Acceleration command, Brake Lights command, Deceleration command, Steering command, Turn Signal command</t>
        </is>
      </c>
      <c r="I68" s="6" t="n">
        <v>35</v>
      </c>
      <c r="J68"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Deceleration_01
HW_ Lane Changes / Overtaking_Insufficient Deceleration_03
HW_ Lane Changes / Overtaking_Insufficient Steering_01
HW_ Lane Changes / Overtaking_Insufficient Steering_04</t>
        </is>
      </c>
      <c r="K68" s="6" t="inlineStr">
        <is>
          <t>HFS-019, HFS-020</t>
        </is>
      </c>
      <c r="L68" s="6" t="inlineStr"/>
      <c r="M68" s="6" t="inlineStr">
        <is>
          <t>[Out-of-ODD] Disabled / stopped vehicle in lane or shoulder</t>
        </is>
      </c>
    </row>
    <row r="69">
      <c r="A69" s="6" t="inlineStr">
        <is>
          <t>LC-NOM-01</t>
        </is>
      </c>
      <c r="B69" s="6" t="inlineStr">
        <is>
          <t>lane change free target lane</t>
        </is>
      </c>
      <c r="C69" s="6" t="inlineStr">
        <is>
          <t>HW-LC</t>
        </is>
      </c>
      <c r="D69" s="16" t="inlineStr">
        <is>
          <t>justifié</t>
        </is>
      </c>
      <c r="E69" s="6" t="inlineStr">
        <is>
          <t>catalogue SERYTI</t>
        </is>
      </c>
      <c r="F69" s="6" t="inlineStr">
        <is>
          <t>Le HIRE de HW-LC relie une déviation de commande sollicitée par la scène (Acceleration command, Steering command, Turn Signal command) au hazard de l'abstract (H1, H4, H5)</t>
        </is>
      </c>
      <c r="G69" s="6" t="inlineStr">
        <is>
          <t>H1 Side collision, H4 Intent not communicated, H5 Loss of stability / control</t>
        </is>
      </c>
      <c r="H69" s="6" t="inlineStr">
        <is>
          <t>Acceleration command, Steering command, Turn Signal command</t>
        </is>
      </c>
      <c r="I69" s="6" t="n">
        <v>34</v>
      </c>
      <c r="J69" s="6" t="inlineStr">
        <is>
          <t>HW_ Lane Changes / Overtaking_Excessive Acceleration_03
HW_ Lane Changes / Overtaking_Excessive Steering_01
HW_ Lane Changes / Overtaking_Excessive Steering_02
HW_ Lane Changes / Overtaking_Excessive Steering_03
HW_ Lane Changes / Overtaking_Excessive Steering_04
HW_ Lane Changes / Overtaking_Insufficient Acceleration_02
HW_ Lane Changes / Overtaking_Insufficient Steering_01
HW_ Lane Changes / Overtaking_Insufficient Steering_03
HW_ Lane Changes / Overtaking_Insufficient Steering_04
HW_ Lane Changes / Overtaking_No Acceleration_02</t>
        </is>
      </c>
      <c r="K69" s="6" t="inlineStr">
        <is>
          <t>HFS-019, HFS-022, HFS-023</t>
        </is>
      </c>
      <c r="L69" s="6" t="inlineStr"/>
      <c r="M69" s="6" t="inlineStr"/>
    </row>
    <row r="70">
      <c r="A70" s="6" t="inlineStr">
        <is>
          <t>LC-NOM-01</t>
        </is>
      </c>
      <c r="B70" s="6" t="inlineStr">
        <is>
          <t>lane change free target lane</t>
        </is>
      </c>
      <c r="C70" s="6" t="inlineStr">
        <is>
          <t>URB-LC</t>
        </is>
      </c>
      <c r="D70" s="16" t="inlineStr">
        <is>
          <t>justifié</t>
        </is>
      </c>
      <c r="E70" s="6" t="inlineStr">
        <is>
          <t>catalogue SERYTI</t>
        </is>
      </c>
      <c r="F70" s="6" t="inlineStr">
        <is>
          <t>Le HIRE de URB-LC relie une déviation de commande sollicitée par la scène (Acceleration command, Steering command, Turn Signal command) au hazard de l'abstract (H1, H4, H5)</t>
        </is>
      </c>
      <c r="G70" s="6" t="inlineStr">
        <is>
          <t>H1 Side collision, H4 Intent not communicated, H5 Loss of stability / control</t>
        </is>
      </c>
      <c r="H70" s="6" t="inlineStr">
        <is>
          <t>Acceleration command, Steering command, Turn Signal command</t>
        </is>
      </c>
      <c r="I70" s="6" t="n">
        <v>33</v>
      </c>
      <c r="J70" s="6" t="inlineStr">
        <is>
          <t>URB_ Lane Changes / Overtaking_Excessive Acceleration_03
URB_ Lane Changes / Overtaking_Excessive Steering_01
URB_ Lane Changes / Overtaking_Excessive Steering_02
URB_ Lane Changes / Overtaking_Excessive Steering_03
URB_ Lane Changes / Overtaking_Excessive Steering_04
URB_ Lane Changes / Overtaking_Insufficient Acceleration_02
URB_ Lane Changes / Overtaking_Insufficient Steering_01
URB_ Lane Changes / Overtaking_Insufficient Steering_03
URB_ Lane Changes / Overtaking_Insufficient Steering_04
URB_ Lane Changes / Overtaking_No Acceleration_02</t>
        </is>
      </c>
      <c r="K70" s="6" t="inlineStr">
        <is>
          <t>HFS-065, HFS-068, HFS-069</t>
        </is>
      </c>
      <c r="L70" s="6" t="inlineStr"/>
      <c r="M70" s="6" t="inlineStr"/>
    </row>
    <row r="71">
      <c r="A71" s="6" t="inlineStr">
        <is>
          <t>LC-NOM-02</t>
        </is>
      </c>
      <c r="B71" s="6" t="inlineStr">
        <is>
          <t>lane change into gap with surrounding traffic</t>
        </is>
      </c>
      <c r="C71" s="6" t="inlineStr">
        <is>
          <t>HW-LC</t>
        </is>
      </c>
      <c r="D71" s="16" t="inlineStr">
        <is>
          <t>justifié</t>
        </is>
      </c>
      <c r="E71" s="6" t="inlineStr">
        <is>
          <t>catalogue SERYTI</t>
        </is>
      </c>
      <c r="F71" s="6" t="inlineStr">
        <is>
          <t>Le HIRE de HW-LC relie une déviation de commande sollicitée par la scène (Acceleration command, Deceleration command, Steering command, Turn Signal command) au hazard de l'abstract (H1, H2, H3, H4)</t>
        </is>
      </c>
      <c r="G71" s="6" t="inlineStr">
        <is>
          <t>H1 Side collision, H2 Front collision, H3 Rear-end by follower, H4 Intent not communicated</t>
        </is>
      </c>
      <c r="H71" s="6" t="inlineStr">
        <is>
          <t>Acceleration command, Deceleration command, Steering command, Turn Signal command</t>
        </is>
      </c>
      <c r="I71" s="6" t="n">
        <v>48</v>
      </c>
      <c r="J71"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71" s="6" t="inlineStr">
        <is>
          <t>HFS-019, HFS-020, HFS-021, HFS-022</t>
        </is>
      </c>
      <c r="L71" s="6" t="inlineStr"/>
      <c r="M71" s="6" t="inlineStr"/>
    </row>
    <row r="72">
      <c r="A72" s="6" t="inlineStr">
        <is>
          <t>LC-NOM-02</t>
        </is>
      </c>
      <c r="B72" s="6" t="inlineStr">
        <is>
          <t>lane change into gap with surrounding traffic</t>
        </is>
      </c>
      <c r="C72" s="6" t="inlineStr">
        <is>
          <t>URB-LC</t>
        </is>
      </c>
      <c r="D72" s="16" t="inlineStr">
        <is>
          <t>justifié</t>
        </is>
      </c>
      <c r="E72" s="6" t="inlineStr">
        <is>
          <t>catalogue SERYTI</t>
        </is>
      </c>
      <c r="F72" s="6" t="inlineStr">
        <is>
          <t>Le HIRE de URB-LC relie une déviation de commande sollicitée par la scène (Acceleration command, Deceleration command, Steering command, Turn Signal command) au hazard de l'abstract (H1, H2, H3, H4)</t>
        </is>
      </c>
      <c r="G72" s="6" t="inlineStr">
        <is>
          <t>H1 Side collision, H2 Front collision, H3 Rear-end by follower, H4 Intent not communicated</t>
        </is>
      </c>
      <c r="H72" s="6" t="inlineStr">
        <is>
          <t>Acceleration command, Deceleration command, Steering command, Turn Signal command</t>
        </is>
      </c>
      <c r="I72" s="6" t="n">
        <v>48</v>
      </c>
      <c r="J72" s="6" t="inlineStr">
        <is>
          <t>URB_ Lane Changes / Overtaking_Excessive Acceleration_01
URB_ Lane Changes / Overtaking_Excessive Acceleration_02
URB_ Lane Changes / Overtaking_Excessive Acceleration_04
URB_ Lane Changes / Overtaking_Excessive Deceleration_01
URB_ Lane Changes / Overtaking_Excessive Deceleration_02
URB_ Lane Changes / Overtaking_Excessive Deceleration_04
URB_ Lane Changes / Overtaking_Excessive Steering_01
URB_ Lane Changes / Overtaking_Excessive Steering_02
URB_ Lane Changes / Overtaking_Excessive Steering_04
URB_ Lane Changes / Overtaking_Insufficient Acceleration_01</t>
        </is>
      </c>
      <c r="K72" s="6" t="inlineStr">
        <is>
          <t>HFS-065, HFS-066, HFS-067, HFS-068</t>
        </is>
      </c>
      <c r="L72" s="6" t="inlineStr"/>
      <c r="M72" s="6" t="inlineStr"/>
    </row>
    <row r="73">
      <c r="A73" s="6" t="inlineStr">
        <is>
          <t>LC-NOM-03</t>
        </is>
      </c>
      <c r="B73" s="6" t="inlineStr">
        <is>
          <t>overtake slow lead</t>
        </is>
      </c>
      <c r="C73" s="6" t="inlineStr">
        <is>
          <t>HW-LC</t>
        </is>
      </c>
      <c r="D73" s="16" t="inlineStr">
        <is>
          <t>justifié</t>
        </is>
      </c>
      <c r="E73" s="6" t="inlineStr">
        <is>
          <t>catalogue SERYTI</t>
        </is>
      </c>
      <c r="F73" s="6" t="inlineStr">
        <is>
          <t>Le HIRE de HW-LC relie une déviation de commande sollicitée par la scène (Acceleration command, Deceleration command, Steering command, Turn Signal command) au hazard de l'abstract (H1, H2, H3)</t>
        </is>
      </c>
      <c r="G73" s="6" t="inlineStr">
        <is>
          <t>H1 Side collision, H2 Front collision, H3 Rear-end by follower</t>
        </is>
      </c>
      <c r="H73" s="6" t="inlineStr">
        <is>
          <t>Acceleration command, Deceleration command, Steering command, Turn Signal command</t>
        </is>
      </c>
      <c r="I73" s="6" t="n">
        <v>46</v>
      </c>
      <c r="J73"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73" s="6" t="inlineStr">
        <is>
          <t>HFS-019, HFS-020, HFS-021</t>
        </is>
      </c>
      <c r="L73" s="6" t="inlineStr"/>
      <c r="M73" s="6" t="inlineStr"/>
    </row>
    <row r="74">
      <c r="A74" s="6" t="inlineStr">
        <is>
          <t>LC-NOM-04</t>
        </is>
      </c>
      <c r="B74" s="6" t="inlineStr">
        <is>
          <t>return lane after overtake</t>
        </is>
      </c>
      <c r="C74" s="6" t="inlineStr">
        <is>
          <t>HW-LC</t>
        </is>
      </c>
      <c r="D74" s="16" t="inlineStr">
        <is>
          <t>justifié</t>
        </is>
      </c>
      <c r="E74" s="6" t="inlineStr">
        <is>
          <t>catalogue SERYTI</t>
        </is>
      </c>
      <c r="F74" s="6" t="inlineStr">
        <is>
          <t>Le HIRE de HW-LC relie une déviation de commande sollicitée par la scène (Acceleration command, Steering command, Turn Signal command) au hazard de l'abstract (H1, H2, H3)</t>
        </is>
      </c>
      <c r="G74" s="6" t="inlineStr">
        <is>
          <t>H1 Side collision, H2 Front collision, H3 Rear-end by follower</t>
        </is>
      </c>
      <c r="H74" s="6" t="inlineStr">
        <is>
          <t>Acceleration command, Steering command, Turn Signal command</t>
        </is>
      </c>
      <c r="I74" s="6" t="n">
        <v>35</v>
      </c>
      <c r="J74"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Acceleration_01
HW_ Lane Changes / Overtaking_Insufficient Acceleration_03
HW_ Lane Changes / Overtaking_Insufficient Steering_01
HW_ Lane Changes / Overtaking_Insufficient Steering_02</t>
        </is>
      </c>
      <c r="K74" s="6" t="inlineStr">
        <is>
          <t>HFS-019, HFS-020, HFS-021</t>
        </is>
      </c>
      <c r="L74" s="6" t="inlineStr"/>
      <c r="M74" s="6" t="inlineStr"/>
    </row>
    <row r="75">
      <c r="A75" s="6" t="inlineStr">
        <is>
          <t>LC-TGT-01</t>
        </is>
      </c>
      <c r="B75" s="6" t="inlineStr">
        <is>
          <t>lane change with fast rear approach</t>
        </is>
      </c>
      <c r="C75" s="6" t="inlineStr">
        <is>
          <t>HW-LC</t>
        </is>
      </c>
      <c r="D75" s="16" t="inlineStr">
        <is>
          <t>justifié</t>
        </is>
      </c>
      <c r="E75" s="6" t="inlineStr">
        <is>
          <t>catalogue SERYTI</t>
        </is>
      </c>
      <c r="F75" s="6" t="inlineStr">
        <is>
          <t>Le HIRE de HW-LC relie une déviation de commande sollicitée par la scène (Acceleration command, Steering command, Turn Signal command) au hazard de l'abstract (H1, H2, H3)</t>
        </is>
      </c>
      <c r="G75" s="6" t="inlineStr">
        <is>
          <t>H1 Side collision, H2 Front collision, H3 Rear-end by follower</t>
        </is>
      </c>
      <c r="H75" s="6" t="inlineStr">
        <is>
          <t>Acceleration command, Steering command, Turn Signal command</t>
        </is>
      </c>
      <c r="I75" s="6" t="n">
        <v>35</v>
      </c>
      <c r="J75"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Acceleration_01
HW_ Lane Changes / Overtaking_Insufficient Acceleration_03
HW_ Lane Changes / Overtaking_Insufficient Steering_01
HW_ Lane Changes / Overtaking_Insufficient Steering_02</t>
        </is>
      </c>
      <c r="K75" s="6" t="inlineStr">
        <is>
          <t>HFS-019, HFS-020, HFS-021</t>
        </is>
      </c>
      <c r="L75" s="6" t="inlineStr"/>
      <c r="M75" s="6" t="inlineStr"/>
    </row>
    <row r="76">
      <c r="A76" s="6" t="inlineStr">
        <is>
          <t>LC-TGT-01</t>
        </is>
      </c>
      <c r="B76" s="6" t="inlineStr">
        <is>
          <t>lane change with fast rear approach</t>
        </is>
      </c>
      <c r="C76" s="6" t="inlineStr">
        <is>
          <t>URB-LC</t>
        </is>
      </c>
      <c r="D76" s="16" t="inlineStr">
        <is>
          <t>justifié</t>
        </is>
      </c>
      <c r="E76" s="6" t="inlineStr">
        <is>
          <t>catalogue SERYTI</t>
        </is>
      </c>
      <c r="F76" s="6" t="inlineStr">
        <is>
          <t>Le HIRE de URB-LC relie une déviation de commande sollicitée par la scène (Acceleration command, Steering command, Turn Signal command) au hazard de l'abstract (H1, H2, H3)</t>
        </is>
      </c>
      <c r="G76" s="6" t="inlineStr">
        <is>
          <t>H1 Side collision, H2 Front collision, H3 Rear-end by follower</t>
        </is>
      </c>
      <c r="H76" s="6" t="inlineStr">
        <is>
          <t>Acceleration command, Steering command, Turn Signal command</t>
        </is>
      </c>
      <c r="I76" s="6" t="n">
        <v>35</v>
      </c>
      <c r="J76" s="6" t="inlineStr">
        <is>
          <t>URB_ Lane Changes / Overtaking_Excessive Acceleration_01
URB_ Lane Changes / Overtaking_Excessive Acceleration_02
URB_ Lane Changes / Overtaking_Excessive Acceleration_04
URB_ Lane Changes / Overtaking_Excessive Steering_01
URB_ Lane Changes / Overtaking_Excessive Steering_02
URB_ Lane Changes / Overtaking_Excessive Steering_04
URB_ Lane Changes / Overtaking_Insufficient Acceleration_01
URB_ Lane Changes / Overtaking_Insufficient Acceleration_03
URB_ Lane Changes / Overtaking_Insufficient Steering_01
URB_ Lane Changes / Overtaking_Insufficient Steering_02</t>
        </is>
      </c>
      <c r="K76" s="6" t="inlineStr">
        <is>
          <t>HFS-065, HFS-066, HFS-067</t>
        </is>
      </c>
      <c r="L76" s="6" t="inlineStr"/>
      <c r="M76" s="6" t="inlineStr"/>
    </row>
    <row r="77">
      <c r="A77" s="6" t="inlineStr">
        <is>
          <t>LC-TGT-02</t>
        </is>
      </c>
      <c r="B77" s="6" t="inlineStr">
        <is>
          <t>lane change with simultaneous merge from far lane</t>
        </is>
      </c>
      <c r="C77" s="6" t="inlineStr">
        <is>
          <t>HW-LC</t>
        </is>
      </c>
      <c r="D77" s="16" t="inlineStr">
        <is>
          <t>justifié</t>
        </is>
      </c>
      <c r="E77" s="6" t="inlineStr">
        <is>
          <t>catalogue SERYTI</t>
        </is>
      </c>
      <c r="F77" s="6" t="inlineStr">
        <is>
          <t>Le HIRE de HW-LC relie une déviation de commande sollicitée par la scène (Acceleration command, Deceleration command, Steering command, Turn Signal command) au hazard de l'abstract (H1, H4)</t>
        </is>
      </c>
      <c r="G77" s="6" t="inlineStr">
        <is>
          <t>H1 Side collision, H4 Intent not communicated</t>
        </is>
      </c>
      <c r="H77" s="6" t="inlineStr">
        <is>
          <t>Acceleration command, Deceleration command, Steering command, Turn Signal command</t>
        </is>
      </c>
      <c r="I77" s="6" t="n">
        <v>26</v>
      </c>
      <c r="J77" s="6" t="inlineStr">
        <is>
          <t>HW_ Lane Changes / Overtaking_Excessive Steering_01
HW_ Lane Changes / Overtaking_Excessive Steering_02
HW_ Lane Changes / Overtaking_Excessive Steering_04
HW_ Lane Changes / Overtaking_Insufficient Steering_01
HW_ Lane Changes / Overtaking_Insufficient Steering_04
HW_ Lane Changes / Overtaking_No Acceleration_02
HW_ Lane Changes / Overtaking_No Deceleration_02
HW_ Lane Changes / Overtaking_No Steering_01
HW_ Lane Changes / Overtaking_No Steering_04
HW_ Lane Changes / Overtaking_No Turn Signal_01</t>
        </is>
      </c>
      <c r="K77" s="6" t="inlineStr">
        <is>
          <t>HFS-019, HFS-022</t>
        </is>
      </c>
      <c r="L77" s="6" t="inlineStr"/>
      <c r="M77" s="6" t="inlineStr"/>
    </row>
    <row r="78">
      <c r="A78" s="6" t="inlineStr">
        <is>
          <t>LC-TGT-03</t>
        </is>
      </c>
      <c r="B78" s="6" t="inlineStr">
        <is>
          <t>lane change with closing gap</t>
        </is>
      </c>
      <c r="C78" s="6" t="inlineStr">
        <is>
          <t>HW-LC</t>
        </is>
      </c>
      <c r="D78" s="16" t="inlineStr">
        <is>
          <t>justifié</t>
        </is>
      </c>
      <c r="E78" s="6" t="inlineStr">
        <is>
          <t>catalogue SERYTI</t>
        </is>
      </c>
      <c r="F78" s="6" t="inlineStr">
        <is>
          <t>Le HIRE de HW-LC relie une déviation de commande sollicitée par la scène (Acceleration command, Steering command, Turn Signal command) au hazard de l'abstract (H1, H2, H3)</t>
        </is>
      </c>
      <c r="G78" s="6" t="inlineStr">
        <is>
          <t>H1 Side collision, H2 Front collision, H3 Rear-end by follower</t>
        </is>
      </c>
      <c r="H78" s="6" t="inlineStr">
        <is>
          <t>Acceleration command, Steering command, Turn Signal command</t>
        </is>
      </c>
      <c r="I78" s="6" t="n">
        <v>35</v>
      </c>
      <c r="J78"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Acceleration_01
HW_ Lane Changes / Overtaking_Insufficient Acceleration_03
HW_ Lane Changes / Overtaking_Insufficient Steering_01
HW_ Lane Changes / Overtaking_Insufficient Steering_02</t>
        </is>
      </c>
      <c r="K78" s="6" t="inlineStr">
        <is>
          <t>HFS-019, HFS-020, HFS-021</t>
        </is>
      </c>
      <c r="L78" s="6" t="inlineStr"/>
      <c r="M78" s="6" t="inlineStr"/>
    </row>
    <row r="79">
      <c r="A79" s="6" t="inlineStr">
        <is>
          <t>LC-TGT-03</t>
        </is>
      </c>
      <c r="B79" s="6" t="inlineStr">
        <is>
          <t>lane change with closing gap</t>
        </is>
      </c>
      <c r="C79" s="6" t="inlineStr">
        <is>
          <t>HW-ONR</t>
        </is>
      </c>
      <c r="D79" s="16" t="inlineStr">
        <is>
          <t>justifié</t>
        </is>
      </c>
      <c r="E79" s="6" t="inlineStr">
        <is>
          <t>catalogue SERYTI</t>
        </is>
      </c>
      <c r="F79" s="6" t="inlineStr">
        <is>
          <t>Le HIRE de HW-ONR relie une déviation de commande sollicitée par la scène (Acceleration command, Deceleration command, Steering command, Turn Signal command) au hazard de l'abstract (H1, H2, H3)</t>
        </is>
      </c>
      <c r="G79" s="6" t="inlineStr">
        <is>
          <t>H1 Side collision, H2 Front collision, H3 Rear-end by follower</t>
        </is>
      </c>
      <c r="H79" s="6" t="inlineStr">
        <is>
          <t>Acceleration command, Deceleration command, Steering command, Turn Signal command</t>
        </is>
      </c>
      <c r="I79" s="6" t="n">
        <v>47</v>
      </c>
      <c r="J79" s="6" t="inlineStr">
        <is>
          <t>HW_ On-Ramp Merge_Excessive Acceleration_01
HW_ On-Ramp Merge_Excessive Acceleration_02
HW_ On-Ramp Merge_Excessive Acceleration_04
HW_ On-Ramp Merge_Excessive Deceleration_01
HW_ On-Ramp Merge_Excessive Deceleration_02
HW_ On-Ramp Merge_Excessive Deceleration_04
HW_ On-Ramp Merge_Excessive Steering_01
HW_ On-Ramp Merge_Excessive Steering_02
HW_ On-Ramp Merge_Excessive Steering_04
HW_ On-Ramp Merge_Insufficient Acceleration_01</t>
        </is>
      </c>
      <c r="K79" s="6" t="inlineStr">
        <is>
          <t>HFS-040, HFS-041, HFS-042</t>
        </is>
      </c>
      <c r="L79" s="6" t="inlineStr"/>
      <c r="M79" s="6" t="inlineStr"/>
    </row>
    <row r="80">
      <c r="A80" s="6" t="inlineStr">
        <is>
          <t>LC-TGT-04</t>
        </is>
      </c>
      <c r="B80" s="6" t="inlineStr">
        <is>
          <t>lane change with target lead braking</t>
        </is>
      </c>
      <c r="C80" s="6" t="inlineStr">
        <is>
          <t>HW-LC</t>
        </is>
      </c>
      <c r="D80" s="16" t="inlineStr">
        <is>
          <t>justifié</t>
        </is>
      </c>
      <c r="E80" s="6" t="inlineStr">
        <is>
          <t>catalogue SERYTI</t>
        </is>
      </c>
      <c r="F80" s="6" t="inlineStr">
        <is>
          <t>Le HIRE de HW-LC relie une déviation de commande sollicitée par la scène (Acceleration command, Deceleration command, Steering command) au hazard de l'abstract (H2, H3)</t>
        </is>
      </c>
      <c r="G80" s="6" t="inlineStr">
        <is>
          <t>H2 Front collision, H3 Rear-end by follower</t>
        </is>
      </c>
      <c r="H80" s="6" t="inlineStr">
        <is>
          <t>Acceleration command, Brake Lights command, Deceleration command, Steering command, Turn Signal command</t>
        </is>
      </c>
      <c r="I80" s="6" t="n">
        <v>22</v>
      </c>
      <c r="J80"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Overtaking_Insufficient Acceleration_01
HW_ Lane Changes / Overtaking_Insufficient Acceleration_03
HW_ Lane Changes / Overtaking_Insufficient Deceleration_01
HW_ Lane Changes / Overtaking_Insufficient Deceleration_03</t>
        </is>
      </c>
      <c r="K80" s="6" t="inlineStr">
        <is>
          <t>HFS-020, HFS-021</t>
        </is>
      </c>
      <c r="L80" s="6" t="inlineStr"/>
      <c r="M80" s="6" t="inlineStr"/>
    </row>
    <row r="81">
      <c r="A81" s="6" t="inlineStr">
        <is>
          <t>LC-TGT-05</t>
        </is>
      </c>
      <c r="B81" s="6" t="inlineStr">
        <is>
          <t>lane change with vehicle alongside trailer</t>
        </is>
      </c>
      <c r="C81" s="6" t="inlineStr">
        <is>
          <t>HW-LC</t>
        </is>
      </c>
      <c r="D81" s="16" t="inlineStr">
        <is>
          <t>justifié</t>
        </is>
      </c>
      <c r="E81" s="6" t="inlineStr">
        <is>
          <t>catalogue SERYTI</t>
        </is>
      </c>
      <c r="F81" s="6" t="inlineStr">
        <is>
          <t>Le HIRE de HW-LC relie une déviation de commande sollicitée par la scène (Acceleration command, Steering command, Turn Signal command) au hazard de l'abstract (H1, H2, H3)</t>
        </is>
      </c>
      <c r="G81" s="6" t="inlineStr">
        <is>
          <t>H1 Side collision, H2 Front collision, H3 Rear-end by follower</t>
        </is>
      </c>
      <c r="H81" s="6" t="inlineStr">
        <is>
          <t>Acceleration command, Steering command, Turn Signal command</t>
        </is>
      </c>
      <c r="I81" s="6" t="n">
        <v>35</v>
      </c>
      <c r="J81"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Acceleration_01
HW_ Lane Changes / Overtaking_Insufficient Acceleration_03
HW_ Lane Changes / Overtaking_Insufficient Steering_01
HW_ Lane Changes / Overtaking_Insufficient Steering_02</t>
        </is>
      </c>
      <c r="K81" s="6" t="inlineStr">
        <is>
          <t>HFS-019, HFS-020, HFS-021</t>
        </is>
      </c>
      <c r="L81" s="6" t="inlineStr"/>
      <c r="M81" s="6" t="inlineStr"/>
    </row>
    <row r="82">
      <c r="A82" s="6" t="inlineStr">
        <is>
          <t>LC-TGT-06</t>
        </is>
      </c>
      <c r="B82" s="6" t="inlineStr">
        <is>
          <t>lane change with motorcycle in blind spot</t>
        </is>
      </c>
      <c r="C82" s="6" t="inlineStr">
        <is>
          <t>HW-LC</t>
        </is>
      </c>
      <c r="D82" s="16" t="inlineStr">
        <is>
          <t>justifié</t>
        </is>
      </c>
      <c r="E82" s="6" t="inlineStr">
        <is>
          <t>catalogue SERYTI</t>
        </is>
      </c>
      <c r="F82" s="6" t="inlineStr">
        <is>
          <t>Le HIRE de HW-LC relie une déviation de commande sollicitée par la scène (Acceleration command, Steering command, Turn Signal command) au hazard de l'abstract (H1)</t>
        </is>
      </c>
      <c r="G82" s="6" t="inlineStr">
        <is>
          <t>H1 Side collision</t>
        </is>
      </c>
      <c r="H82" s="6" t="inlineStr">
        <is>
          <t>Acceleration command, Steering command, Turn Signal command</t>
        </is>
      </c>
      <c r="I82" s="6" t="n">
        <v>23</v>
      </c>
      <c r="J82" s="6" t="inlineStr">
        <is>
          <t>HW_ Lane Changes / Overtaking_Excessive Steering_01
HW_ Lane Changes / Overtaking_Excessive Steering_02
HW_ Lane Changes / Overtaking_Excessive Steering_04
HW_ Lane Changes / Overtaking_Insufficient Steering_01
HW_ Lane Changes / Overtaking_Insufficient Steering_04
HW_ Lane Changes / Overtaking_No Acceleration_02
HW_ Lane Changes / Overtaking_No Steering_01
HW_ Lane Changes / Overtaking_No Steering_04
HW_ Lane Changes / Overtaking_No Turn Signal_01
HW_ Lane Changes / Overtaking_No Turn Signal_02</t>
        </is>
      </c>
      <c r="K82" s="6" t="inlineStr">
        <is>
          <t>HFS-019</t>
        </is>
      </c>
      <c r="L82" s="6" t="inlineStr"/>
      <c r="M82" s="6" t="inlineStr"/>
    </row>
    <row r="83">
      <c r="A83" s="6" t="inlineStr">
        <is>
          <t>LC-TGT-07</t>
        </is>
      </c>
      <c r="B83" s="6" t="inlineStr">
        <is>
          <t>lane change next to large or unstable vehicle</t>
        </is>
      </c>
      <c r="C83" s="6" t="inlineStr">
        <is>
          <t>HW-LC</t>
        </is>
      </c>
      <c r="D83" s="16" t="inlineStr">
        <is>
          <t>justifié</t>
        </is>
      </c>
      <c r="E83" s="6" t="inlineStr">
        <is>
          <t>catalogue SERYTI</t>
        </is>
      </c>
      <c r="F83" s="6" t="inlineStr">
        <is>
          <t>Le HIRE de HW-LC relie une déviation de commande sollicitée par la scène (Acceleration command, Steering command, Turn Signal command) au hazard de l'abstract (H1)</t>
        </is>
      </c>
      <c r="G83" s="6" t="inlineStr">
        <is>
          <t>H1 Side collision</t>
        </is>
      </c>
      <c r="H83" s="6" t="inlineStr">
        <is>
          <t>Acceleration command, Steering command, Turn Signal command</t>
        </is>
      </c>
      <c r="I83" s="6" t="n">
        <v>23</v>
      </c>
      <c r="J83" s="6" t="inlineStr">
        <is>
          <t>HW_ Lane Changes / Overtaking_Excessive Steering_01
HW_ Lane Changes / Overtaking_Excessive Steering_02
HW_ Lane Changes / Overtaking_Excessive Steering_04
HW_ Lane Changes / Overtaking_Insufficient Steering_01
HW_ Lane Changes / Overtaking_Insufficient Steering_04
HW_ Lane Changes / Overtaking_No Acceleration_02
HW_ Lane Changes / Overtaking_No Steering_01
HW_ Lane Changes / Overtaking_No Steering_04
HW_ Lane Changes / Overtaking_No Turn Signal_01
HW_ Lane Changes / Overtaking_No Turn Signal_02</t>
        </is>
      </c>
      <c r="K83" s="6" t="inlineStr">
        <is>
          <t>HFS-019</t>
        </is>
      </c>
      <c r="L83" s="6" t="inlineStr"/>
      <c r="M83" s="6" t="inlineStr">
        <is>
          <t>Lane Width — narrow (down to 2.5 m)</t>
        </is>
      </c>
    </row>
    <row r="84">
      <c r="A84" s="6" t="inlineStr">
        <is>
          <t>LC-TGT-07</t>
        </is>
      </c>
      <c r="B84" s="6" t="inlineStr">
        <is>
          <t>lane change next to large or unstable vehicle</t>
        </is>
      </c>
      <c r="C84" s="6" t="inlineStr">
        <is>
          <t>HW-CRU</t>
        </is>
      </c>
      <c r="D84" s="16" t="inlineStr">
        <is>
          <t>justifié</t>
        </is>
      </c>
      <c r="E84" s="6" t="inlineStr">
        <is>
          <t>catalogue SERYTI</t>
        </is>
      </c>
      <c r="F84" s="6" t="inlineStr">
        <is>
          <t>Le HIRE de HW-CRU relie une déviation de commande sollicitée par la scène (Steering command) au hazard de l'abstract (H1)</t>
        </is>
      </c>
      <c r="G84" s="6" t="inlineStr">
        <is>
          <t>H1 Side collision</t>
        </is>
      </c>
      <c r="H84" s="6" t="inlineStr">
        <is>
          <t>Steering command</t>
        </is>
      </c>
      <c r="I84" s="6" t="n">
        <v>31</v>
      </c>
      <c r="J84" s="6" t="inlineStr">
        <is>
          <t>HW_ Lane-Centered Cruise_Excessive Steering_07
HW_ Lane-Centered Cruise_Insufficient Steering_09
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t>
        </is>
      </c>
      <c r="K84" s="6" t="inlineStr">
        <is>
          <t>HFS-029</t>
        </is>
      </c>
      <c r="L84" s="6" t="inlineStr">
        <is>
          <t>Lane Width — narrow (down to 2.5 m)</t>
        </is>
      </c>
      <c r="M84" s="6" t="inlineStr"/>
    </row>
    <row r="85">
      <c r="A85" s="6" t="inlineStr">
        <is>
          <t>LC-TGT-07</t>
        </is>
      </c>
      <c r="B85" s="6" t="inlineStr">
        <is>
          <t>lane change next to large or unstable vehicle</t>
        </is>
      </c>
      <c r="C85" s="6" t="inlineStr">
        <is>
          <t>HW-FOL</t>
        </is>
      </c>
      <c r="D85" s="16" t="inlineStr">
        <is>
          <t>justifié</t>
        </is>
      </c>
      <c r="E85" s="6" t="inlineStr">
        <is>
          <t>catalogue SERYTI</t>
        </is>
      </c>
      <c r="F85" s="6" t="inlineStr">
        <is>
          <t>Le HIRE de HW-FOL relie une déviation de commande sollicitée par la scène (Steering command) au hazard de l'abstract (H1)</t>
        </is>
      </c>
      <c r="G85" s="6" t="inlineStr">
        <is>
          <t>H1 Side collision</t>
        </is>
      </c>
      <c r="H85" s="6" t="inlineStr">
        <is>
          <t>Steering command</t>
        </is>
      </c>
      <c r="I85" s="6" t="n">
        <v>15</v>
      </c>
      <c r="J85"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85" s="6" t="inlineStr">
        <is>
          <t>HFS-024</t>
        </is>
      </c>
      <c r="L85" s="6" t="inlineStr"/>
      <c r="M85" s="6" t="inlineStr">
        <is>
          <t>Lane Width — narrow (down to 2.5 m)</t>
        </is>
      </c>
    </row>
    <row r="86">
      <c r="A86" s="6" t="inlineStr">
        <is>
          <t>LC-CUR-01</t>
        </is>
      </c>
      <c r="B86" s="6" t="inlineStr">
        <is>
          <t>lane change with origin lead braking</t>
        </is>
      </c>
      <c r="C86" s="6" t="inlineStr">
        <is>
          <t>HW-LC</t>
        </is>
      </c>
      <c r="D86" s="16" t="inlineStr">
        <is>
          <t>justifié</t>
        </is>
      </c>
      <c r="E86" s="6" t="inlineStr">
        <is>
          <t>catalogue SERYTI</t>
        </is>
      </c>
      <c r="F86" s="6" t="inlineStr">
        <is>
          <t>Le HIRE de HW-LC relie une déviation de commande sollicitée par la scène (Acceleration command, Deceleration command, Steering command, Turn Signal command) au hazard de l'abstract (H1, H2, H3, H4)</t>
        </is>
      </c>
      <c r="G86" s="6" t="inlineStr">
        <is>
          <t>H1 Side collision, H2 Front collision, H3 Rear-end by follower, H4 Intent not communicated</t>
        </is>
      </c>
      <c r="H86" s="6" t="inlineStr">
        <is>
          <t>Acceleration command, Brake Lights command, Deceleration command, Steering command, Turn Signal command</t>
        </is>
      </c>
      <c r="I86" s="6" t="n">
        <v>48</v>
      </c>
      <c r="J86"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86" s="6" t="inlineStr">
        <is>
          <t>HFS-019, HFS-020, HFS-021, HFS-022</t>
        </is>
      </c>
      <c r="L86" s="6" t="inlineStr"/>
      <c r="M86" s="6" t="inlineStr"/>
    </row>
    <row r="87">
      <c r="A87" s="6" t="inlineStr">
        <is>
          <t>LC-CUR-01</t>
        </is>
      </c>
      <c r="B87" s="6" t="inlineStr">
        <is>
          <t>lane change with origin lead braking</t>
        </is>
      </c>
      <c r="C87" s="6" t="inlineStr">
        <is>
          <t>URB-LC</t>
        </is>
      </c>
      <c r="D87" s="16" t="inlineStr">
        <is>
          <t>justifié</t>
        </is>
      </c>
      <c r="E87" s="6" t="inlineStr">
        <is>
          <t>catalogue SERYTI</t>
        </is>
      </c>
      <c r="F87" s="6" t="inlineStr">
        <is>
          <t>Le HIRE de URB-LC relie une déviation de commande sollicitée par la scène (Acceleration command, Deceleration command, Steering command, Turn Signal command) au hazard de l'abstract (H1, H2, H3, H4)</t>
        </is>
      </c>
      <c r="G87" s="6" t="inlineStr">
        <is>
          <t>H1 Side collision, H2 Front collision, H3 Rear-end by follower, H4 Intent not communicated</t>
        </is>
      </c>
      <c r="H87" s="6" t="inlineStr">
        <is>
          <t>Acceleration command, Brake Lights command, Deceleration command, Steering command, Turn Signal command</t>
        </is>
      </c>
      <c r="I87" s="6" t="n">
        <v>48</v>
      </c>
      <c r="J87" s="6" t="inlineStr">
        <is>
          <t>URB_ Lane Changes / Overtaking_Excessive Acceleration_01
URB_ Lane Changes / Overtaking_Excessive Acceleration_02
URB_ Lane Changes / Overtaking_Excessive Acceleration_04
URB_ Lane Changes / Overtaking_Excessive Deceleration_01
URB_ Lane Changes / Overtaking_Excessive Deceleration_02
URB_ Lane Changes / Overtaking_Excessive Deceleration_04
URB_ Lane Changes / Overtaking_Excessive Steering_01
URB_ Lane Changes / Overtaking_Excessive Steering_02
URB_ Lane Changes / Overtaking_Excessive Steering_04
URB_ Lane Changes / Overtaking_Insufficient Acceleration_01</t>
        </is>
      </c>
      <c r="K87" s="6" t="inlineStr">
        <is>
          <t>HFS-065, HFS-066, HFS-067, HFS-068</t>
        </is>
      </c>
      <c r="L87" s="6" t="inlineStr"/>
      <c r="M87" s="6" t="inlineStr"/>
    </row>
    <row r="88">
      <c r="A88" s="6" t="inlineStr">
        <is>
          <t>LC-CUR-02</t>
        </is>
      </c>
      <c r="B88" s="6" t="inlineStr">
        <is>
          <t>evasive lane change after lead cut out</t>
        </is>
      </c>
      <c r="C88" s="6" t="inlineStr">
        <is>
          <t>HW-LC</t>
        </is>
      </c>
      <c r="D88" s="16" t="inlineStr">
        <is>
          <t>justifié</t>
        </is>
      </c>
      <c r="E88" s="6" t="inlineStr">
        <is>
          <t>catalogue SERYTI</t>
        </is>
      </c>
      <c r="F88" s="6" t="inlineStr">
        <is>
          <t>Le HIRE de HW-LC relie une déviation de commande sollicitée par la scène (Acceleration command, Deceleration command, Steering command, Turn Signal command) au hazard de l'abstract (H1, H2, H3, H4)</t>
        </is>
      </c>
      <c r="G88" s="6" t="inlineStr">
        <is>
          <t>H1 Side collision, H2 Front collision, H3 Rear-end by follower, H4 Intent not communicated</t>
        </is>
      </c>
      <c r="H88" s="6" t="inlineStr">
        <is>
          <t>Acceleration command, Brake Lights command, Deceleration command, Steering command, Turn Signal command</t>
        </is>
      </c>
      <c r="I88" s="6" t="n">
        <v>48</v>
      </c>
      <c r="J88"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88" s="6" t="inlineStr">
        <is>
          <t>HFS-019, HFS-020, HFS-021, HFS-022</t>
        </is>
      </c>
      <c r="L88" s="6" t="inlineStr"/>
      <c r="M88" s="6" t="inlineStr">
        <is>
          <t>[Out-of-ODD] Disabled / stopped vehicle in lane or shoulder, Foreign Object Debris (FOD) in lane, [Out-of-ODD] Tire debris / blown tire / lost cargo</t>
        </is>
      </c>
    </row>
    <row r="89">
      <c r="A89" s="6" t="inlineStr">
        <is>
          <t>LC-CUR-02</t>
        </is>
      </c>
      <c r="B89" s="6" t="inlineStr">
        <is>
          <t>evasive lane change after lead cut out</t>
        </is>
      </c>
      <c r="C89" s="6" t="inlineStr">
        <is>
          <t>HW-FOL</t>
        </is>
      </c>
      <c r="D89" s="16" t="inlineStr">
        <is>
          <t>justifié</t>
        </is>
      </c>
      <c r="E89" s="6" t="inlineStr">
        <is>
          <t>catalogue SERYTI</t>
        </is>
      </c>
      <c r="F89" s="6" t="inlineStr">
        <is>
          <t>Le HIRE de HW-FOL relie une déviation de commande sollicitée par la scène (Acceleration command, Brake Lights command, Deceleration command, Steering command) au hazard de l'abstract (H1, H2, H3, H4)</t>
        </is>
      </c>
      <c r="G89" s="6" t="inlineStr">
        <is>
          <t>H1 Side collision, H2 Front collision, H3 Rear-end by follower, H4 Intent not communicated</t>
        </is>
      </c>
      <c r="H89" s="6" t="inlineStr">
        <is>
          <t>Acceleration command, Brake Lights command, Deceleration command, Steering command</t>
        </is>
      </c>
      <c r="I89" s="6" t="n">
        <v>59</v>
      </c>
      <c r="J89" s="6" t="inlineStr">
        <is>
          <t>HW_ Lane-Centered Adaptive Follow_Brake Lights for too long / stuck_01
HW_ Lane-Centered Adaptive Follow_Brake Lights too late_01
HW_ Lane-Centered Adaptive Follow_Excessive Acceleration_01
HW_ Lane-Centered Adaptive Follow_Excessive Acceleration_02
HW_ Lane-Centered Adaptive Follow_Excessive Acceleration_04
HW_ Lane-Centered Adaptive Follow_Excessive Deceleration_01
HW_ Lane-Centered Adaptive Follow_Excessive Deceleration_02
HW_ Lane-Centered Adaptive Follow_Excessive Deceleration_04
HW_ Lane-Centered Adaptive Follow_Excessive Steering_01
HW_ Lane-Centered Adaptive Follow_Excessive Steering_02</t>
        </is>
      </c>
      <c r="K89" s="6" t="inlineStr">
        <is>
          <t>HFS-024, HFS-025, HFS-026, HFS-027</t>
        </is>
      </c>
      <c r="L89" s="6" t="inlineStr"/>
      <c r="M89" s="6" t="inlineStr">
        <is>
          <t>[Out-of-ODD] Disabled / stopped vehicle in lane or shoulder, Foreign Object Debris (FOD) in lane, [Out-of-ODD] Tire debris / blown tire / lost cargo</t>
        </is>
      </c>
    </row>
    <row r="90">
      <c r="A90" s="6" t="inlineStr">
        <is>
          <t>LC-CUR-02</t>
        </is>
      </c>
      <c r="B90" s="6" t="inlineStr">
        <is>
          <t>evasive lane change after lead cut out</t>
        </is>
      </c>
      <c r="C90" s="6" t="inlineStr">
        <is>
          <t>HW-ESL</t>
        </is>
      </c>
      <c r="D90" s="16" t="inlineStr">
        <is>
          <t>justifié</t>
        </is>
      </c>
      <c r="E90" s="6" t="inlineStr">
        <is>
          <t>catalogue SERYTI</t>
        </is>
      </c>
      <c r="F90" s="6" t="inlineStr">
        <is>
          <t>Le HIRE de HW-ESL relie une déviation de commande sollicitée par la scène (Acceleration command, Deceleration command, Hazard Lights command, Steering command) au hazard de l'abstract (H1, H2, H3, H4)</t>
        </is>
      </c>
      <c r="G90" s="6" t="inlineStr">
        <is>
          <t>H1 Side collision, H2 Front collision, H3 Rear-end by follower, H4 Intent not communicated</t>
        </is>
      </c>
      <c r="H90" s="6" t="inlineStr">
        <is>
          <t>Acceleration command, Brake Lights command, Deceleration command, Hazard Lights command, Steering command</t>
        </is>
      </c>
      <c r="I90" s="6" t="n">
        <v>32</v>
      </c>
      <c r="J90" s="6" t="inlineStr">
        <is>
          <t>HW_ Emergency Stop in Lane_Excessive Acceleration_01
HW_ Emergency Stop in Lane_Excessive Deceleration_01
HW_ Emergency Stop in Lane_Excessive Deceleration_03
HW_ Emergency Stop in Lane_Excessive Steering_01
HW_ Emergency Stop in Lane_Excessive Steering_02
HW_ Emergency Stop in Lane_Hazard Lights too late_01
HW_ Emergency Stop in Lane_Hazard Lights too late_02
HW_ Emergency Stop in Lane_Hazard Lights too late_03
HW_ Emergency Stop in Lane_Insufficient Steering_01
HW_ Emergency Stop in Lane_Insufficient Steering_02</t>
        </is>
      </c>
      <c r="K90" s="6" t="inlineStr">
        <is>
          <t>HFS-013, HFS-014, HFS-015, HFS-016, HFS-017, HFS-045</t>
        </is>
      </c>
      <c r="L90" s="6" t="inlineStr"/>
      <c r="M90" s="6" t="inlineStr">
        <is>
          <t>[Out-of-ODD] Disabled / stopped vehicle in lane or shoulder, Foreign Object Debris (FOD) in lane, [Out-of-ODD] Tire debris / blown tire / lost cargo</t>
        </is>
      </c>
    </row>
    <row r="91">
      <c r="A91" s="6" t="inlineStr">
        <is>
          <t>LC-CUR-02</t>
        </is>
      </c>
      <c r="B91" s="6" t="inlineStr">
        <is>
          <t>evasive lane change after lead cut out</t>
        </is>
      </c>
      <c r="C91" s="6" t="inlineStr">
        <is>
          <t>HW-ELM</t>
        </is>
      </c>
      <c r="D91" s="16" t="inlineStr">
        <is>
          <t>justifié</t>
        </is>
      </c>
      <c r="E91" s="6" t="inlineStr">
        <is>
          <t>catalogue SERYTI</t>
        </is>
      </c>
      <c r="F91" s="6" t="inlineStr">
        <is>
          <t>Le HIRE de HW-ELM relie une déviation de commande sollicitée par la scène (Acceleration command, Deceleration command, Hazard Lights command, Steering command) au hazard de l'abstract (H1, H2, H3, H4)</t>
        </is>
      </c>
      <c r="G91" s="6" t="inlineStr">
        <is>
          <t>H1 Side collision, H2 Front collision, H3 Rear-end by follower, H4 Intent not communicated</t>
        </is>
      </c>
      <c r="H91" s="6" t="inlineStr">
        <is>
          <t>Acceleration command, Brake Lights command, Deceleration command, Hazard Lights command, Steering command, Turn Signal command</t>
        </is>
      </c>
      <c r="I91" s="6" t="n">
        <v>27</v>
      </c>
      <c r="J91" s="6" t="inlineStr">
        <is>
          <t>HW_ Emergency Lateral Motion_Excessive Acceleration_01
HW_ Emergency Lateral Motion_Excessive Deceleration_01
HW_ Emergency Lateral Motion_Excessive Deceleration_03
HW_ Emergency Lateral Motion_Excessive Steering_01
HW_ Emergency Lateral Motion_Excessive Steering_02
HW_ Emergency Lateral Motion_Hazard Lights too late_01
HW_ Emergency Lateral Motion_Hazard Lights too late_02
HW_ Emergency Lateral Motion_Insufficient Steering_01
HW_ Emergency Lateral Motion_Insufficient Steering_02
HW_ Emergency Lateral Motion_No Acceleration_01</t>
        </is>
      </c>
      <c r="K91" s="6" t="inlineStr">
        <is>
          <t>HFS-008, HFS-009, HFS-010, HFS-011</t>
        </is>
      </c>
      <c r="L91" s="6" t="inlineStr"/>
      <c r="M91" s="6" t="inlineStr">
        <is>
          <t>[Out-of-ODD] Disabled / stopped vehicle in lane or shoulder, Foreign Object Debris (FOD) in lane, [Out-of-ODD] Tire debris / blown tire / lost cargo</t>
        </is>
      </c>
    </row>
    <row r="92">
      <c r="A92" s="6" t="inlineStr">
        <is>
          <t>LC-CUR-02</t>
        </is>
      </c>
      <c r="B92" s="6" t="inlineStr">
        <is>
          <t>evasive lane change after lead cut out</t>
        </is>
      </c>
      <c r="C92" s="6" t="inlineStr">
        <is>
          <t>HW-CRU</t>
        </is>
      </c>
      <c r="D92" s="16" t="inlineStr">
        <is>
          <t>justifié</t>
        </is>
      </c>
      <c r="E92" s="6" t="inlineStr">
        <is>
          <t>catalogue SERYTI</t>
        </is>
      </c>
      <c r="F92" s="6" t="inlineStr">
        <is>
          <t>Le HIRE de HW-CRU relie une déviation de commande sollicitée par la scène (Acceleration command, Deceleration command, Steering command) au hazard de l'abstract (H1, H2, H3, H4)</t>
        </is>
      </c>
      <c r="G92" s="6" t="inlineStr">
        <is>
          <t>H1 Side collision, H2 Front collision, H3 Rear-end by follower, H4 Intent not communicated</t>
        </is>
      </c>
      <c r="H92" s="6" t="inlineStr">
        <is>
          <t>Acceleration command, Brake Lights command, Deceleration command, Steering command</t>
        </is>
      </c>
      <c r="I92" s="6" t="n">
        <v>71</v>
      </c>
      <c r="J92" s="6" t="inlineStr">
        <is>
          <t>HW_ Lane-Centered Cruise_Deceleration too late_03
HW_ Lane-Centered Cruise_Excessive Steering_08
HW_ Lane-Centered Cruise_No Steering_08
HW_ Lane-Centered Cruise_No Steering_10
HW_ Lane-Centered Cruise_No Steering_11
HW_ Lane-Centered Cruise_Unintended Deceleration_05
HW_ Lane-Centered Cruise_Excessive Acceleration_01
HW_ Lane-Centered Cruise_Excessive Acceleration_02
HW_ Lane-Centered Cruise_Excessive Acceleration_04
HW_ Lane-Centered Cruise_Excessive Deceleration_01</t>
        </is>
      </c>
      <c r="K92" s="6" t="inlineStr">
        <is>
          <t>HFS-029, HFS-030, HFS-031, HFS-032</t>
        </is>
      </c>
      <c r="L92" s="6" t="inlineStr">
        <is>
          <t>[Out-of-ODD] Disabled / stopped vehicle in lane or shoulder, Foreign Object Debris (FOD) in lane, [Out-of-ODD] Tire debris / blown tire / lost cargo</t>
        </is>
      </c>
      <c r="M92" s="6" t="inlineStr"/>
    </row>
    <row r="93">
      <c r="A93" s="6" t="inlineStr">
        <is>
          <t>LC-CUR-03</t>
        </is>
      </c>
      <c r="B93" s="6" t="inlineStr">
        <is>
          <t>lane change with tailgating follower</t>
        </is>
      </c>
      <c r="C93" s="6" t="inlineStr">
        <is>
          <t>HW-LC</t>
        </is>
      </c>
      <c r="D93" s="16" t="inlineStr">
        <is>
          <t>justifié</t>
        </is>
      </c>
      <c r="E93" s="6" t="inlineStr">
        <is>
          <t>catalogue SERYTI</t>
        </is>
      </c>
      <c r="F93" s="6" t="inlineStr">
        <is>
          <t>Le HIRE de HW-LC relie une déviation de commande sollicitée par la scène (Acceleration command, Deceleration command, Steering command, Turn Signal command) au hazard de l'abstract (H1, H2, H3, H4)</t>
        </is>
      </c>
      <c r="G93" s="6" t="inlineStr">
        <is>
          <t>H1 Side collision, H2 Front collision, H3 Rear-end by follower, H4 Intent not communicated</t>
        </is>
      </c>
      <c r="H93" s="6" t="inlineStr">
        <is>
          <t>Acceleration command, Deceleration command, Steering command, Turn Signal command</t>
        </is>
      </c>
      <c r="I93" s="6" t="n">
        <v>48</v>
      </c>
      <c r="J93"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93" s="6" t="inlineStr">
        <is>
          <t>HFS-019, HFS-020, HFS-021, HFS-022</t>
        </is>
      </c>
      <c r="L93" s="6" t="inlineStr"/>
      <c r="M93" s="6" t="inlineStr"/>
    </row>
    <row r="94">
      <c r="A94" s="6" t="inlineStr">
        <is>
          <t>RMP-01</t>
        </is>
      </c>
      <c r="B94" s="6" t="inlineStr">
        <is>
          <t>Insertion : gap accepté en fin de voie d'accélération</t>
        </is>
      </c>
      <c r="C94" s="6" t="inlineStr">
        <is>
          <t>HW-ONR</t>
        </is>
      </c>
      <c r="D94" s="16" t="inlineStr">
        <is>
          <t>justifié</t>
        </is>
      </c>
      <c r="E94" s="6" t="inlineStr">
        <is>
          <t>catalogue SERYTI</t>
        </is>
      </c>
      <c r="F94" s="6" t="inlineStr">
        <is>
          <t>Le HIRE de HW-ONR relie une déviation de commande sollicitée par la scène (Acceleration command, Deceleration command, Steering command, Turn Signal command) au hazard de l'abstract (H1, H3)</t>
        </is>
      </c>
      <c r="G94" s="6" t="inlineStr">
        <is>
          <t>H1 Side collision, H3 Rear-end by follower</t>
        </is>
      </c>
      <c r="H94" s="6" t="inlineStr">
        <is>
          <t>Acceleration command, Deceleration command, Steering command, Turn Signal command</t>
        </is>
      </c>
      <c r="I94" s="6" t="n">
        <v>36</v>
      </c>
      <c r="J94" s="6" t="inlineStr">
        <is>
          <t>HW_ On-Ramp Merge_Excessive Deceleration_01
HW_ On-Ramp Merge_Excessive Deceleration_02
HW_ On-Ramp Merge_Excessive Deceleration_04
HW_ On-Ramp Merge_Excessive Steering_01
HW_ On-Ramp Merge_Excessive Steering_02
HW_ On-Ramp Merge_Excessive Steering_04
HW_ On-Ramp Merge_Insufficient Acceleration_01
HW_ On-Ramp Merge_Insufficient Acceleration_03
HW_ On-Ramp Merge_Insufficient Steering_01
HW_ On-Ramp Merge_Insufficient Steering_02</t>
        </is>
      </c>
      <c r="K94" s="6" t="inlineStr">
        <is>
          <t>HFS-040, HFS-042</t>
        </is>
      </c>
      <c r="L94" s="6" t="inlineStr"/>
      <c r="M94" s="6" t="inlineStr"/>
    </row>
    <row r="95">
      <c r="A95" s="6" t="inlineStr">
        <is>
          <t>RMP-02</t>
        </is>
      </c>
      <c r="B95" s="6" t="inlineStr">
        <is>
          <t>Insertion : voie d'accélération courte</t>
        </is>
      </c>
      <c r="C95" s="6" t="inlineStr">
        <is>
          <t>HW-ONR</t>
        </is>
      </c>
      <c r="D95" s="16" t="inlineStr">
        <is>
          <t>justifié</t>
        </is>
      </c>
      <c r="E95" s="6" t="inlineStr">
        <is>
          <t>catalogue SERYTI</t>
        </is>
      </c>
      <c r="F95" s="6" t="inlineStr">
        <is>
          <t>Le HIRE de HW-ONR relie une déviation de commande sollicitée par la scène (Acceleration command, Deceleration command, Steering command, Turn Signal command) au hazard de l'abstract (H1, H3)</t>
        </is>
      </c>
      <c r="G95" s="6" t="inlineStr">
        <is>
          <t>H1 Side collision, H3 Rear-end by follower</t>
        </is>
      </c>
      <c r="H95" s="6" t="inlineStr">
        <is>
          <t>Acceleration command, Deceleration command, Steering command, Turn Signal command</t>
        </is>
      </c>
      <c r="I95" s="6" t="n">
        <v>36</v>
      </c>
      <c r="J95" s="6" t="inlineStr">
        <is>
          <t>HW_ On-Ramp Merge_Excessive Deceleration_01
HW_ On-Ramp Merge_Excessive Deceleration_02
HW_ On-Ramp Merge_Excessive Deceleration_04
HW_ On-Ramp Merge_Excessive Steering_01
HW_ On-Ramp Merge_Excessive Steering_02
HW_ On-Ramp Merge_Excessive Steering_04
HW_ On-Ramp Merge_Insufficient Acceleration_01
HW_ On-Ramp Merge_Insufficient Acceleration_03
HW_ On-Ramp Merge_Insufficient Steering_01
HW_ On-Ramp Merge_Insufficient Steering_02</t>
        </is>
      </c>
      <c r="K95" s="6" t="inlineStr">
        <is>
          <t>HFS-040, HFS-042</t>
        </is>
      </c>
      <c r="L95" s="6" t="inlineStr"/>
      <c r="M95" s="6" t="inlineStr"/>
    </row>
    <row r="96">
      <c r="A96" s="6" t="inlineStr">
        <is>
          <t>RMP-03</t>
        </is>
      </c>
      <c r="B96" s="6" t="inlineStr">
        <is>
          <t>Insertion : voie principale saturée</t>
        </is>
      </c>
      <c r="C96" s="6" t="inlineStr">
        <is>
          <t>HW-ONR</t>
        </is>
      </c>
      <c r="D96" s="16" t="inlineStr">
        <is>
          <t>justifié</t>
        </is>
      </c>
      <c r="E96" s="6" t="inlineStr">
        <is>
          <t>catalogue SERYTI</t>
        </is>
      </c>
      <c r="F96" s="6" t="inlineStr">
        <is>
          <t>Le HIRE de HW-ONR relie une déviation de commande sollicitée par la scène (Acceleration command, Deceleration command, Steering command, Turn Signal command) au hazard de l'abstract (H1, H3)</t>
        </is>
      </c>
      <c r="G96" s="6" t="inlineStr">
        <is>
          <t>H1 Side collision, H3 Rear-end by follower</t>
        </is>
      </c>
      <c r="H96" s="6" t="inlineStr">
        <is>
          <t>Acceleration command, Deceleration command, Steering command, Turn Signal command</t>
        </is>
      </c>
      <c r="I96" s="6" t="n">
        <v>36</v>
      </c>
      <c r="J96" s="6" t="inlineStr">
        <is>
          <t>HW_ On-Ramp Merge_Excessive Deceleration_01
HW_ On-Ramp Merge_Excessive Deceleration_02
HW_ On-Ramp Merge_Excessive Deceleration_04
HW_ On-Ramp Merge_Excessive Steering_01
HW_ On-Ramp Merge_Excessive Steering_02
HW_ On-Ramp Merge_Excessive Steering_04
HW_ On-Ramp Merge_Insufficient Acceleration_01
HW_ On-Ramp Merge_Insufficient Acceleration_03
HW_ On-Ramp Merge_Insufficient Steering_01
HW_ On-Ramp Merge_Insufficient Steering_02</t>
        </is>
      </c>
      <c r="K96" s="6" t="inlineStr">
        <is>
          <t>HFS-040, HFS-042</t>
        </is>
      </c>
      <c r="L96" s="6" t="inlineStr"/>
      <c r="M96" s="6" t="inlineStr"/>
    </row>
    <row r="97">
      <c r="A97" s="6" t="inlineStr">
        <is>
          <t>RMP-04</t>
        </is>
      </c>
      <c r="B97" s="6" t="inlineStr">
        <is>
          <t>Insertion : véhicule lent ou arrêté devant sur la bretelle</t>
        </is>
      </c>
      <c r="C97" s="6" t="inlineStr">
        <is>
          <t>HW-ONR</t>
        </is>
      </c>
      <c r="D97" s="16" t="inlineStr">
        <is>
          <t>justifié</t>
        </is>
      </c>
      <c r="E97" s="6" t="inlineStr">
        <is>
          <t>catalogue SERYTI</t>
        </is>
      </c>
      <c r="F97" s="6" t="inlineStr">
        <is>
          <t>Le HIRE de HW-ONR relie une déviation de commande sollicitée par la scène (Acceleration command, Deceleration command, Steering command) au hazard de l'abstract (H2)</t>
        </is>
      </c>
      <c r="G97" s="6" t="inlineStr">
        <is>
          <t>H2 Front collision</t>
        </is>
      </c>
      <c r="H97" s="6" t="inlineStr">
        <is>
          <t>Acceleration command, Deceleration command, Steering command, Turn Signal command</t>
        </is>
      </c>
      <c r="I97" s="6" t="n">
        <v>11</v>
      </c>
      <c r="J97" s="6" t="inlineStr">
        <is>
          <t>HW_ On-Ramp Merge_Excessive Acceleration_01
HW_ On-Ramp Merge_Excessive Acceleration_02
HW_ On-Ramp Merge_Excessive Acceleration_04
HW_ On-Ramp Merge_Insufficient Deceleration_01
HW_ On-Ramp Merge_Insufficient Deceleration_03
HW_ On-Ramp Merge_No Deceleration_01
HW_ On-Ramp Merge_No Deceleration_04
HW_ On-Ramp Merge_No Steering_02
HW_ On-Ramp Merge_Unintended Acceleration_01
HW_ On-Ramp Merge_Unintended Acceleration_02</t>
        </is>
      </c>
      <c r="K97" s="6" t="inlineStr">
        <is>
          <t>HFS-041</t>
        </is>
      </c>
      <c r="L97" s="6" t="inlineStr"/>
      <c r="M97" s="6" t="inlineStr"/>
    </row>
    <row r="98">
      <c r="A98" s="6" t="inlineStr">
        <is>
          <t>RMP-05</t>
        </is>
      </c>
      <c r="B98" s="6" t="inlineStr">
        <is>
          <t>Insertion : un véhicule de la voie principale se décale</t>
        </is>
      </c>
      <c r="C98" s="6" t="inlineStr">
        <is>
          <t>HW-ONR</t>
        </is>
      </c>
      <c r="D98" s="16" t="inlineStr">
        <is>
          <t>justifié</t>
        </is>
      </c>
      <c r="E98" s="6" t="inlineStr">
        <is>
          <t>catalogue SERYTI</t>
        </is>
      </c>
      <c r="F98" s="6" t="inlineStr">
        <is>
          <t>Le HIRE de HW-ONR relie une déviation de commande sollicitée par la scène (Acceleration command, Deceleration command, Steering command, Turn Signal command) au hazard de l'abstract (H1)</t>
        </is>
      </c>
      <c r="G98" s="6" t="inlineStr">
        <is>
          <t>H1 Side collision</t>
        </is>
      </c>
      <c r="H98" s="6" t="inlineStr">
        <is>
          <t>Acceleration command, Deceleration command, Steering command, Turn Signal command</t>
        </is>
      </c>
      <c r="I98" s="6" t="n">
        <v>24</v>
      </c>
      <c r="J98" s="6" t="inlineStr">
        <is>
          <t>HW_ On-Ramp Merge_Excessive Steering_01
HW_ On-Ramp Merge_Excessive Steering_02
HW_ On-Ramp Merge_Excessive Steering_04
HW_ On-Ramp Merge_Insufficient Steering_01
HW_ On-Ramp Merge_Insufficient Steering_04
HW_ On-Ramp Merge_No Acceleration_02
HW_ On-Ramp Merge_No Deceleration_02
HW_ On-Ramp Merge_No Steering_01
HW_ On-Ramp Merge_No Steering_04
HW_ On-Ramp Merge_No Turn Signal_01</t>
        </is>
      </c>
      <c r="K98" s="6" t="inlineStr">
        <is>
          <t>HFS-040</t>
        </is>
      </c>
      <c r="L98" s="6" t="inlineStr"/>
      <c r="M98" s="6" t="inlineStr"/>
    </row>
    <row r="99">
      <c r="A99" s="6" t="inlineStr">
        <is>
          <t>RMP-06</t>
        </is>
      </c>
      <c r="B99" s="6" t="inlineStr">
        <is>
          <t>Sortie : file d'attente sur la bretelle</t>
        </is>
      </c>
      <c r="C99" s="6" t="inlineStr">
        <is>
          <t>HW-OFR</t>
        </is>
      </c>
      <c r="D99" s="16" t="inlineStr">
        <is>
          <t>justifié</t>
        </is>
      </c>
      <c r="E99" s="6" t="inlineStr">
        <is>
          <t>catalogue SERYTI</t>
        </is>
      </c>
      <c r="F99" s="6" t="inlineStr">
        <is>
          <t>Le HIRE de HW-OFR relie une déviation de commande sollicitée par la scène (Acceleration command, Deceleration command) au hazard de l'abstract (H2)</t>
        </is>
      </c>
      <c r="G99" s="6" t="inlineStr">
        <is>
          <t>H2 Front collision</t>
        </is>
      </c>
      <c r="H99" s="6" t="inlineStr">
        <is>
          <t>Acceleration command, Deceleration command</t>
        </is>
      </c>
      <c r="I99" s="6" t="n">
        <v>10</v>
      </c>
      <c r="J99" s="6" t="inlineStr">
        <is>
          <t>HW_ Off-Ramp Exit_Excessive Acceleration_01
HW_ Off-Ramp Exit_Excessive Acceleration_02
HW_ Off-Ramp Exit_Excessive Acceleration_04
HW_ Off-Ramp Exit_Insufficient Deceleration_01
HW_ Off-Ramp Exit_Insufficient Deceleration_03
HW_ Off-Ramp Exit_No Deceleration_01
HW_ Off-Ramp Exit_No Deceleration_04
HW_ Off-Ramp Exit_Unintended Acceleration_01
HW_ Off-Ramp Exit_Unintended Acceleration_02
HW_ Off-Ramp Exit_Unintended Acceleration_04</t>
        </is>
      </c>
      <c r="K99" s="6" t="inlineStr">
        <is>
          <t>HFS-036</t>
        </is>
      </c>
      <c r="L99" s="6" t="inlineStr"/>
      <c r="M99" s="6" t="inlineStr"/>
    </row>
    <row r="100">
      <c r="A100" s="6" t="inlineStr">
        <is>
          <t>RMP-06</t>
        </is>
      </c>
      <c r="B100" s="6" t="inlineStr">
        <is>
          <t>Sortie : file d'attente sur la bretelle</t>
        </is>
      </c>
      <c r="C100" s="6" t="inlineStr">
        <is>
          <t>HW-FOL</t>
        </is>
      </c>
      <c r="D100" s="16" t="inlineStr">
        <is>
          <t>justifié</t>
        </is>
      </c>
      <c r="E100" s="6" t="inlineStr">
        <is>
          <t>catalogue SERYTI</t>
        </is>
      </c>
      <c r="F100" s="6" t="inlineStr">
        <is>
          <t>Le HIRE de HW-FOL relie une déviation de commande sollicitée par la scène (Acceleration command, Deceleration command) au hazard de l'abstract (H2)</t>
        </is>
      </c>
      <c r="G100" s="6" t="inlineStr">
        <is>
          <t>H2 Front collision</t>
        </is>
      </c>
      <c r="H100" s="6" t="inlineStr">
        <is>
          <t>Acceleration command, Deceleration command</t>
        </is>
      </c>
      <c r="I100" s="6" t="n">
        <v>24</v>
      </c>
      <c r="J100"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100" s="6" t="inlineStr">
        <is>
          <t>HFS-025</t>
        </is>
      </c>
      <c r="L100" s="6" t="inlineStr"/>
      <c r="M100" s="6" t="inlineStr"/>
    </row>
    <row r="101">
      <c r="A101" s="6" t="inlineStr">
        <is>
          <t>RMP-07</t>
        </is>
      </c>
      <c r="B101" s="6" t="inlineStr">
        <is>
          <t>Sortie manquée faute de gap</t>
        </is>
      </c>
      <c r="C101" s="6" t="inlineStr">
        <is>
          <t>HW-OFR</t>
        </is>
      </c>
      <c r="D101" s="16" t="inlineStr">
        <is>
          <t>justifié</t>
        </is>
      </c>
      <c r="E101" s="6" t="inlineStr">
        <is>
          <t>catalogue SERYTI</t>
        </is>
      </c>
      <c r="F101" s="6" t="inlineStr">
        <is>
          <t>Le HIRE de HW-OFR relie une déviation de commande sollicitée par la scène (Acceleration command, Deceleration command, Steering command, Turn Signal command) au hazard de l'abstract (H1, H3)</t>
        </is>
      </c>
      <c r="G101" s="6" t="inlineStr">
        <is>
          <t>H1 Side collision, H3 Rear-end by follower</t>
        </is>
      </c>
      <c r="H101" s="6" t="inlineStr">
        <is>
          <t>Acceleration command, Deceleration command, Steering command, Turn Signal command</t>
        </is>
      </c>
      <c r="I101" s="6" t="n">
        <v>35</v>
      </c>
      <c r="J101" s="6" t="inlineStr">
        <is>
          <t>HW_ Off-Ramp Exit_Excessive Deceleration_01
HW_ Off-Ramp Exit_Excessive Deceleration_02
HW_ Off-Ramp Exit_Excessive Deceleration_04
HW_ Off-Ramp Exit_Excessive Steering_01
HW_ Off-Ramp Exit_Excessive Steering_02
HW_ Off-Ramp Exit_Excessive Steering_04
HW_ Off-Ramp Exit_Insufficient Acceleration_01
HW_ Off-Ramp Exit_Insufficient Acceleration_03
HW_ Off-Ramp Exit_Insufficient Steering_01
HW_ Off-Ramp Exit_Insufficient Steering_02</t>
        </is>
      </c>
      <c r="K101" s="6" t="inlineStr">
        <is>
          <t>HFS-035, HFS-037</t>
        </is>
      </c>
      <c r="L101" s="6" t="inlineStr"/>
      <c r="M101" s="6" t="inlineStr"/>
    </row>
    <row r="102">
      <c r="A102" s="6" t="inlineStr">
        <is>
          <t>RMP-08</t>
        </is>
      </c>
      <c r="B102" s="6" t="inlineStr">
        <is>
          <t>Sortie : virage serré de la bretelle</t>
        </is>
      </c>
      <c r="C102" s="6" t="inlineStr">
        <is>
          <t>HW-OFR</t>
        </is>
      </c>
      <c r="D102" s="16" t="inlineStr">
        <is>
          <t>justifié</t>
        </is>
      </c>
      <c r="E102" s="6" t="inlineStr">
        <is>
          <t>catalogue SERYTI</t>
        </is>
      </c>
      <c r="F102" s="6" t="inlineStr">
        <is>
          <t>Le HIRE de HW-OFR relie une déviation de commande sollicitée par la scène (Acceleration command, Deceleration command, Steering command) au hazard de l'abstract (H5)</t>
        </is>
      </c>
      <c r="G102" s="6" t="inlineStr">
        <is>
          <t>H5 Loss of stability / control</t>
        </is>
      </c>
      <c r="H102" s="6" t="inlineStr">
        <is>
          <t>Acceleration command, Deceleration command, Steering command</t>
        </is>
      </c>
      <c r="I102" s="6" t="n">
        <v>12</v>
      </c>
      <c r="J102" s="6" t="inlineStr">
        <is>
          <t>HW_ Off-Ramp Exit_Excessive Acceleration_03
HW_ Off-Ramp Exit_Excessive Deceleration_03
HW_ Off-Ramp Exit_Excessive Steering_03
HW_ Off-Ramp Exit_Insufficient Acceleration_02
HW_ Off-Ramp Exit_Insufficient Deceleration_02
HW_ Off-Ramp Exit_Insufficient Steering_03
HW_ Off-Ramp Exit_No Deceleration_03
HW_ Off-Ramp Exit_No Steering_03
HW_ Off-Ramp Exit_Steering for too long / stuck_02
HW_ Off-Ramp Exit_Unintended Acceleration_03</t>
        </is>
      </c>
      <c r="K102" s="6" t="inlineStr">
        <is>
          <t>HFS-039</t>
        </is>
      </c>
      <c r="L102" s="6" t="inlineStr"/>
      <c r="M102" s="6" t="inlineStr">
        <is>
          <t>Slope — steep grade (up to ±8 %), Curvature — sharp curve (up to 0.25 1/m)</t>
        </is>
      </c>
    </row>
    <row r="103">
      <c r="A103" s="6" t="inlineStr">
        <is>
          <t>RMP-09</t>
        </is>
      </c>
      <c r="B103" s="6" t="inlineStr">
        <is>
          <t>Véhicule qui coupe le musoir au dernier moment</t>
        </is>
      </c>
      <c r="C103" s="6" t="inlineStr">
        <is>
          <t>HW-OFR</t>
        </is>
      </c>
      <c r="D103" s="16" t="inlineStr">
        <is>
          <t>justifié</t>
        </is>
      </c>
      <c r="E103" s="6" t="inlineStr">
        <is>
          <t>catalogue SERYTI</t>
        </is>
      </c>
      <c r="F103" s="6" t="inlineStr">
        <is>
          <t>Le HIRE de HW-OFR relie une déviation de commande sollicitée par la scène (Deceleration command, Steering command) au hazard de l'abstract (H2)</t>
        </is>
      </c>
      <c r="G103" s="6" t="inlineStr">
        <is>
          <t>H2 Front collision</t>
        </is>
      </c>
      <c r="H103" s="6" t="inlineStr">
        <is>
          <t>Deceleration command, Steering command</t>
        </is>
      </c>
      <c r="I103" s="6" t="n">
        <v>5</v>
      </c>
      <c r="J103" s="6" t="inlineStr">
        <is>
          <t>HW_ Off-Ramp Exit_Insufficient Deceleration_01
HW_ Off-Ramp Exit_Insufficient Deceleration_03
HW_ Off-Ramp Exit_No Deceleration_01
HW_ Off-Ramp Exit_No Deceleration_04
HW_ Off-Ramp Exit_No Steering_02</t>
        </is>
      </c>
      <c r="K103" s="6" t="inlineStr">
        <is>
          <t>HFS-036</t>
        </is>
      </c>
      <c r="L103" s="6" t="inlineStr"/>
      <c r="M103" s="6" t="inlineStr">
        <is>
          <t>Vehicles — dense traffic / cut-in</t>
        </is>
      </c>
    </row>
    <row r="104">
      <c r="A104" s="6" t="inlineStr">
        <is>
          <t>RMP-09</t>
        </is>
      </c>
      <c r="B104" s="6" t="inlineStr">
        <is>
          <t>Véhicule qui coupe le musoir au dernier moment</t>
        </is>
      </c>
      <c r="C104" s="6" t="inlineStr">
        <is>
          <t>HW-CRU</t>
        </is>
      </c>
      <c r="D104" s="16" t="inlineStr">
        <is>
          <t>justifié</t>
        </is>
      </c>
      <c r="E104" s="6" t="inlineStr">
        <is>
          <t>catalogue SERYTI</t>
        </is>
      </c>
      <c r="F104" s="6" t="inlineStr">
        <is>
          <t>Le HIRE de HW-CRU relie une déviation de commande sollicitée par la scène (Deceleration command, Steering command) au hazard de l'abstract (H2)</t>
        </is>
      </c>
      <c r="G104" s="6" t="inlineStr">
        <is>
          <t>H2 Front collision</t>
        </is>
      </c>
      <c r="H104" s="6" t="inlineStr">
        <is>
          <t>Deceleration command, Steering command</t>
        </is>
      </c>
      <c r="I104" s="6" t="n">
        <v>15</v>
      </c>
      <c r="J104" s="6" t="inlineStr">
        <is>
          <t>HW_ Lane-Centered Cruise_Insufficient Deceleration_01
HW_ Lane-Centered Cruise_Insufficient Deceleration_03
HW_ Lane-Centered Cruise_No Deceleration_01
HW_ Lane-Centered Cruise_No Deceleration_04
HW_ Lane-Centered Cruise_No Steering_02
HW_ Lane-Centered Cruise_Deceleration too late_01
HW_ Lane-Centered Cruise_Deceleration too late_02
HW_ Lane-Centered Cruise_Deceleration too late_03
HW_ Lane-Centered Cruise_No Deceleration_05
HW_ Lane-Centered Cruise_No Deceleration_07</t>
        </is>
      </c>
      <c r="K104" s="6" t="inlineStr">
        <is>
          <t>HFS-030</t>
        </is>
      </c>
      <c r="L104" s="6" t="inlineStr"/>
      <c r="M104" s="6" t="inlineStr">
        <is>
          <t>Vehicles — dense traffic / cut-in</t>
        </is>
      </c>
    </row>
    <row r="105">
      <c r="A105" s="6" t="inlineStr">
        <is>
          <t>RMP-09</t>
        </is>
      </c>
      <c r="B105" s="6" t="inlineStr">
        <is>
          <t>Véhicule qui coupe le musoir au dernier moment</t>
        </is>
      </c>
      <c r="C105" s="6" t="inlineStr">
        <is>
          <t>HW-FOL</t>
        </is>
      </c>
      <c r="D105" s="16" t="inlineStr">
        <is>
          <t>justifié</t>
        </is>
      </c>
      <c r="E105" s="6" t="inlineStr">
        <is>
          <t>catalogue SERYTI</t>
        </is>
      </c>
      <c r="F105" s="6" t="inlineStr">
        <is>
          <t>Le HIRE de HW-FOL relie une déviation de commande sollicitée par la scène (Deceleration command, Steering command) au hazard de l'abstract (H2)</t>
        </is>
      </c>
      <c r="G105" s="6" t="inlineStr">
        <is>
          <t>H2 Front collision</t>
        </is>
      </c>
      <c r="H105" s="6" t="inlineStr">
        <is>
          <t>Deceleration command, Steering command</t>
        </is>
      </c>
      <c r="I105" s="6" t="n">
        <v>19</v>
      </c>
      <c r="J105" s="6" t="inlineStr">
        <is>
          <t>HW_ Lane-Centered Adaptive Follow_Deceleration too late_06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105" s="6" t="inlineStr">
        <is>
          <t>HFS-025</t>
        </is>
      </c>
      <c r="L105" s="6" t="inlineStr">
        <is>
          <t>Vehicles — dense traffic / cut-in</t>
        </is>
      </c>
      <c r="M105" s="6" t="inlineStr"/>
    </row>
    <row r="106">
      <c r="A106" s="6" t="inlineStr">
        <is>
          <t>RMP-10</t>
        </is>
      </c>
      <c r="B106" s="6" t="inlineStr">
        <is>
          <t>Sortie : rampe en marche arrière ou véhicule qui recule</t>
        </is>
      </c>
      <c r="C106" s="6" t="inlineStr">
        <is>
          <t>HW-OFR</t>
        </is>
      </c>
      <c r="D106" s="17" t="inlineStr">
        <is>
          <t>justifié indirectement</t>
        </is>
      </c>
      <c r="E106" s="6" t="inlineStr">
        <is>
          <t>catalogue SERYTI</t>
        </is>
      </c>
      <c r="F106" s="6" t="inlineStr">
        <is>
          <t>Abstract pas encore générable : lien fondé sur le hazard seul (H2)</t>
        </is>
      </c>
      <c r="G106" s="6" t="inlineStr">
        <is>
          <t>H2 Front collision</t>
        </is>
      </c>
      <c r="H106" s="6" t="inlineStr"/>
      <c r="I106" s="6" t="n">
        <v>11</v>
      </c>
      <c r="J106" s="6" t="inlineStr">
        <is>
          <t>HW_ Off-Ramp Exit_Excessive Acceleration_01
HW_ Off-Ramp Exit_Excessive Acceleration_02
HW_ Off-Ramp Exit_Excessive Acceleration_04
HW_ Off-Ramp Exit_Insufficient Deceleration_01
HW_ Off-Ramp Exit_Insufficient Deceleration_03
HW_ Off-Ramp Exit_No Deceleration_01
HW_ Off-Ramp Exit_No Deceleration_04
HW_ Off-Ramp Exit_No Steering_02
HW_ Off-Ramp Exit_Unintended Acceleration_01
HW_ Off-Ramp Exit_Unintended Acceleration_02</t>
        </is>
      </c>
      <c r="K106" s="6" t="inlineStr">
        <is>
          <t>HFS-036</t>
        </is>
      </c>
      <c r="L106" s="6" t="inlineStr"/>
      <c r="M106" s="6" t="inlineStr"/>
    </row>
    <row r="107">
      <c r="A107" s="6" t="inlineStr">
        <is>
          <t>RMP-10</t>
        </is>
      </c>
      <c r="B107" s="6" t="inlineStr">
        <is>
          <t>Sortie : rampe en marche arrière ou véhicule qui recule</t>
        </is>
      </c>
      <c r="C107" s="6" t="inlineStr">
        <is>
          <t>HW-CSS</t>
        </is>
      </c>
      <c r="D107" s="17" t="inlineStr">
        <is>
          <t>justifié indirectement</t>
        </is>
      </c>
      <c r="E107" s="6" t="inlineStr">
        <is>
          <t>catalogue SERYTI</t>
        </is>
      </c>
      <c r="F107" s="6" t="inlineStr">
        <is>
          <t>Abstract pas encore générable : lien fondé sur le hazard seul (H2)</t>
        </is>
      </c>
      <c r="G107" s="6" t="inlineStr">
        <is>
          <t>H2 Front collision</t>
        </is>
      </c>
      <c r="H107" s="6" t="inlineStr"/>
      <c r="I107" s="6" t="n">
        <v>9</v>
      </c>
      <c r="J107" s="6" t="inlineStr">
        <is>
          <t>HW_ Controlled Stop on Shoulder_Excessive Acceleration_01
HW_ Controlled Stop on Shoulder_No Deceleration_01
HW_ Controlled Stop on Shoulder_No Deceleration_03
HW_ Controlled Stop on Shoulder_Unintended Acceleration_01
HW_ Controlled Stop on Shoulder_Insufficient Deceleration_02
HW_ Controlled Stop on Shoulder_No Steering_06
HW_ Controlled Stop on Shoulder_Unintended Steering_04
HW_ Controlled Stop on Shoulder_Unintended Steering_05
HW_ Controlled Stop on Shoulder_Unintended Steering_06</t>
        </is>
      </c>
      <c r="K107" s="6" t="inlineStr">
        <is>
          <t>HFS-004</t>
        </is>
      </c>
      <c r="L107" s="6" t="inlineStr"/>
      <c r="M107" s="6" t="inlineStr"/>
    </row>
    <row r="108">
      <c r="A108" s="6" t="inlineStr">
        <is>
          <t>RMP-11</t>
        </is>
      </c>
      <c r="B108" s="6" t="inlineStr">
        <is>
          <t>Le leader quitte l'autoroute par la sortie</t>
        </is>
      </c>
      <c r="C108" s="6" t="inlineStr">
        <is>
          <t>HW-CRU</t>
        </is>
      </c>
      <c r="D108" s="16" t="inlineStr">
        <is>
          <t>justifié</t>
        </is>
      </c>
      <c r="E108" s="6" t="inlineStr">
        <is>
          <t>catalogue SERYTI</t>
        </is>
      </c>
      <c r="F108" s="6" t="inlineStr">
        <is>
          <t>Le HIRE de HW-CRU relie une déviation de commande sollicitée par la scène (Acceleration command, Deceleration command) au hazard de l'abstract (H2)</t>
        </is>
      </c>
      <c r="G108" s="6" t="inlineStr">
        <is>
          <t>H2 Front collision</t>
        </is>
      </c>
      <c r="H108" s="6" t="inlineStr">
        <is>
          <t>Acceleration command, Deceleration command</t>
        </is>
      </c>
      <c r="I108" s="6" t="n">
        <v>17</v>
      </c>
      <c r="J108" s="6" t="inlineStr">
        <is>
          <t>HW_ Lane-Centered Cruise_Excessive Acceleration_01
HW_ Lane-Centered Cruise_Excessive Acceleration_02
HW_ Lane-Centered Cruise_Excessive Acceleration_04
HW_ Lane-Centered Cruise_Insufficient Deceleration_01
HW_ Lane-Centered Cruise_Insufficient Deceleration_03
HW_ Lane-Centered Cruise_No Deceleration_01
HW_ Lane-Centered Cruise_No Deceleration_04
HW_ Lane-Centered Cruise_Unintended Acceleration_01
HW_ Lane-Centered Cruise_Unintended Acceleration_02
HW_ Lane-Centered Cruise_Unintended Acceleration_04</t>
        </is>
      </c>
      <c r="K108" s="6" t="inlineStr">
        <is>
          <t>HFS-030</t>
        </is>
      </c>
      <c r="L108" s="6" t="inlineStr"/>
      <c r="M108" s="6" t="inlineStr"/>
    </row>
    <row r="109">
      <c r="A109" s="6" t="inlineStr">
        <is>
          <t>RMP-11</t>
        </is>
      </c>
      <c r="B109" s="6" t="inlineStr">
        <is>
          <t>Le leader quitte l'autoroute par la sortie</t>
        </is>
      </c>
      <c r="C109" s="6" t="inlineStr">
        <is>
          <t>HW-FOL</t>
        </is>
      </c>
      <c r="D109" s="16" t="inlineStr">
        <is>
          <t>justifié</t>
        </is>
      </c>
      <c r="E109" s="6" t="inlineStr">
        <is>
          <t>catalogue SERYTI</t>
        </is>
      </c>
      <c r="F109" s="6" t="inlineStr">
        <is>
          <t>Le HIRE de HW-FOL relie une déviation de commande sollicitée par la scène (Acceleration command, Deceleration command) au hazard de l'abstract (H2)</t>
        </is>
      </c>
      <c r="G109" s="6" t="inlineStr">
        <is>
          <t>H2 Front collision</t>
        </is>
      </c>
      <c r="H109" s="6" t="inlineStr">
        <is>
          <t>Acceleration command, Deceleration command</t>
        </is>
      </c>
      <c r="I109" s="6" t="n">
        <v>24</v>
      </c>
      <c r="J109"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Follow_Unintended Acceleration_01
HW_ Lane-Centered Adaptive Follow_Unintended Acceleration_02
HW_ Lane-Centered Adaptive Follow_Unintended Acceleration_04</t>
        </is>
      </c>
      <c r="K109" s="6" t="inlineStr">
        <is>
          <t>HFS-025</t>
        </is>
      </c>
      <c r="L109" s="6" t="inlineStr"/>
      <c r="M109" s="6" t="inlineStr"/>
    </row>
    <row r="110">
      <c r="A110" s="6" t="inlineStr">
        <is>
          <t>RMP-12</t>
        </is>
      </c>
      <c r="B110" s="6" t="inlineStr">
        <is>
          <t>Convoi qui s'insère depuis la bretelle</t>
        </is>
      </c>
      <c r="C110" s="6" t="inlineStr">
        <is>
          <t>HW-CRU</t>
        </is>
      </c>
      <c r="D110" s="16" t="inlineStr">
        <is>
          <t>justifié</t>
        </is>
      </c>
      <c r="E110" s="6" t="inlineStr">
        <is>
          <t>catalogue SERYTI</t>
        </is>
      </c>
      <c r="F110" s="6" t="inlineStr">
        <is>
          <t>Le HIRE de HW-CRU relie une déviation de commande sollicitée par la scène (Deceleration command, Steering command) au hazard de l'abstract (H1, H2)</t>
        </is>
      </c>
      <c r="G110" s="6" t="inlineStr">
        <is>
          <t>H1 Side collision, H2 Front collision</t>
        </is>
      </c>
      <c r="H110" s="6" t="inlineStr">
        <is>
          <t>Deceleration command, Steering command</t>
        </is>
      </c>
      <c r="I110" s="6" t="n">
        <v>48</v>
      </c>
      <c r="J110" s="6" t="inlineStr">
        <is>
          <t>HW_ Lane-Centered Cruise_Excessive Steering_01
HW_ Lane-Centered Cruise_Excessive Steering_02
HW_ Lane-Centered Cruise_Excessive Steering_04
HW_ Lane-Centered Cruise_Insufficient Deceleration_01
HW_ Lane-Centered Cruise_Insufficient Deceleration_03
HW_ Lane-Centered Cruise_Insufficient Steering_01
HW_ Lane-Centered Cruise_Insufficient Steering_04
HW_ Lane-Centered Cruise_No Deceleration_01
HW_ Lane-Centered Cruise_No Deceleration_02
HW_ Lane-Centered Cruise_No Deceleration_04</t>
        </is>
      </c>
      <c r="K110" s="6" t="inlineStr">
        <is>
          <t>HFS-029, HFS-030</t>
        </is>
      </c>
      <c r="L110" s="6" t="inlineStr"/>
      <c r="M110" s="6" t="inlineStr">
        <is>
          <t>Vehicles — dense traffic / cut-in</t>
        </is>
      </c>
    </row>
    <row r="111">
      <c r="A111" s="6" t="inlineStr">
        <is>
          <t>RMP-12</t>
        </is>
      </c>
      <c r="B111" s="6" t="inlineStr">
        <is>
          <t>Convoi qui s'insère depuis la bretelle</t>
        </is>
      </c>
      <c r="C111" s="6" t="inlineStr">
        <is>
          <t>HW-FOL</t>
        </is>
      </c>
      <c r="D111" s="16" t="inlineStr">
        <is>
          <t>justifié</t>
        </is>
      </c>
      <c r="E111" s="6" t="inlineStr">
        <is>
          <t>catalogue SERYTI</t>
        </is>
      </c>
      <c r="F111" s="6" t="inlineStr">
        <is>
          <t>Le HIRE de HW-FOL relie une déviation de commande sollicitée par la scène (Deceleration command, Steering command) au hazard de l'abstract (H1, H2)</t>
        </is>
      </c>
      <c r="G111" s="6" t="inlineStr">
        <is>
          <t>H1 Side collision, H2 Front collision</t>
        </is>
      </c>
      <c r="H111" s="6" t="inlineStr">
        <is>
          <t>Deceleration command, Steering command</t>
        </is>
      </c>
      <c r="I111" s="6" t="n">
        <v>35</v>
      </c>
      <c r="J111" s="6" t="inlineStr">
        <is>
          <t>HW_ Lane-Centered Adaptive Follow_Deceleration too late_06
HW_ Lane-Centered Adaptive Follow_Excessive Steering_01
HW_ Lane-Centered Adaptive Follow_Excessive Steering_02
HW_ Lane-Centered Adaptive Follow_Excessive Steering_04
HW_ Lane-Centered Adaptive Follow_Insufficient Deceleration_01
HW_ Lane-Centered Adaptive Follow_Insufficient Deceleration_03
HW_ Lane-Centered Adaptive Follow_Insufficient Steering_01
HW_ Lane-Centered Adaptive Follow_Insufficient Steering_04
HW_ Lane-Centered Adaptive Follow_No Deceleration_01
HW_ Lane-Centered Adaptive Follow_No Deceleration_02</t>
        </is>
      </c>
      <c r="K111" s="6" t="inlineStr">
        <is>
          <t>HFS-024, HFS-025</t>
        </is>
      </c>
      <c r="L111" s="6" t="inlineStr">
        <is>
          <t>Vehicles — dense traffic / cut-in</t>
        </is>
      </c>
      <c r="M111" s="6" t="inlineStr"/>
    </row>
    <row r="112">
      <c r="A112" s="6" t="inlineStr">
        <is>
          <t>RMP-12</t>
        </is>
      </c>
      <c r="B112" s="6" t="inlineStr">
        <is>
          <t>Convoi qui s'insère depuis la bretelle</t>
        </is>
      </c>
      <c r="C112" s="6" t="inlineStr">
        <is>
          <t>HW-LC</t>
        </is>
      </c>
      <c r="D112" s="16" t="inlineStr">
        <is>
          <t>justifié</t>
        </is>
      </c>
      <c r="E112" s="6" t="inlineStr">
        <is>
          <t>catalogue SERYTI</t>
        </is>
      </c>
      <c r="F112" s="6" t="inlineStr">
        <is>
          <t>Le HIRE de HW-LC relie une déviation de commande sollicitée par la scène (Acceleration command, Deceleration command, Steering command, Turn Signal command) au hazard de l'abstract (H1, H2)</t>
        </is>
      </c>
      <c r="G112" s="6" t="inlineStr">
        <is>
          <t>H1 Side collision, H2 Front collision</t>
        </is>
      </c>
      <c r="H112" s="6" t="inlineStr">
        <is>
          <t>Acceleration command, Deceleration command, Steering command, Turn Signal command</t>
        </is>
      </c>
      <c r="I112" s="6" t="n">
        <v>35</v>
      </c>
      <c r="J112"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Deceleration_01
HW_ Lane Changes / Overtaking_Insufficient Deceleration_03
HW_ Lane Changes / Overtaking_Insufficient Steering_01
HW_ Lane Changes / Overtaking_Insufficient Steering_04</t>
        </is>
      </c>
      <c r="K112" s="6" t="inlineStr">
        <is>
          <t>HFS-019, HFS-020</t>
        </is>
      </c>
      <c r="L112" s="6" t="inlineStr"/>
      <c r="M112" s="6" t="inlineStr">
        <is>
          <t>Vehicles — dense traffic / cut-in</t>
        </is>
      </c>
    </row>
    <row r="113">
      <c r="A113" s="6" t="inlineStr">
        <is>
          <t>RMP-13</t>
        </is>
      </c>
      <c r="B113" s="6" t="inlineStr">
        <is>
          <t>Insertion du SDT pendant qu'un véhicule sort par la voie d'accélération</t>
        </is>
      </c>
      <c r="C113" s="6" t="inlineStr">
        <is>
          <t>HW-ONR</t>
        </is>
      </c>
      <c r="D113" s="16" t="inlineStr">
        <is>
          <t>justifié</t>
        </is>
      </c>
      <c r="E113" s="6" t="inlineStr">
        <is>
          <t>catalogue SERYTI</t>
        </is>
      </c>
      <c r="F113" s="6" t="inlineStr">
        <is>
          <t>Le HIRE de HW-ONR relie une déviation de commande sollicitée par la scène (Acceleration command, Deceleration command, Steering command, Turn Signal command) au hazard de l'abstract (H1, H2)</t>
        </is>
      </c>
      <c r="G113" s="6" t="inlineStr">
        <is>
          <t>H1 Side collision, H2 Front collision</t>
        </is>
      </c>
      <c r="H113" s="6" t="inlineStr">
        <is>
          <t>Acceleration command, Deceleration command, Steering command, Turn Signal command</t>
        </is>
      </c>
      <c r="I113" s="6" t="n">
        <v>35</v>
      </c>
      <c r="J113" s="6" t="inlineStr">
        <is>
          <t>HW_ On-Ramp Merge_Excessive Acceleration_01
HW_ On-Ramp Merge_Excessive Acceleration_02
HW_ On-Ramp Merge_Excessive Acceleration_04
HW_ On-Ramp Merge_Excessive Steering_01
HW_ On-Ramp Merge_Excessive Steering_02
HW_ On-Ramp Merge_Excessive Steering_04
HW_ On-Ramp Merge_Insufficient Deceleration_01
HW_ On-Ramp Merge_Insufficient Deceleration_03
HW_ On-Ramp Merge_Insufficient Steering_01
HW_ On-Ramp Merge_Insufficient Steering_04</t>
        </is>
      </c>
      <c r="K113" s="6" t="inlineStr">
        <is>
          <t>HFS-040, HFS-041</t>
        </is>
      </c>
      <c r="L113" s="6" t="inlineStr"/>
      <c r="M113" s="6" t="inlineStr">
        <is>
          <t>Vehicles — dense traffic / cut-in</t>
        </is>
      </c>
    </row>
    <row r="114">
      <c r="A114" s="6" t="inlineStr">
        <is>
          <t>RMP-14</t>
        </is>
      </c>
      <c r="B114" s="6" t="inlineStr">
        <is>
          <t>Insertion : bretelle d'accès en courbe et en pente</t>
        </is>
      </c>
      <c r="C114" s="6" t="inlineStr">
        <is>
          <t>HW-ONR</t>
        </is>
      </c>
      <c r="D114" s="16" t="inlineStr">
        <is>
          <t>justifié</t>
        </is>
      </c>
      <c r="E114" s="6" t="inlineStr">
        <is>
          <t>abstract créé depuis le HIRE v2 (H5 sans abstract)</t>
        </is>
      </c>
      <c r="F114" s="6" t="inlineStr">
        <is>
          <t>Le HIRE de HW-ONR relie une déviation de commande sollicitée par la scène (Acceleration command, Deceleration command, Steering command, Turn Signal command) au hazard de l'abstract (H1, H5)</t>
        </is>
      </c>
      <c r="G114" s="6" t="inlineStr">
        <is>
          <t>H1 Side collision, H5 Loss of stability / control</t>
        </is>
      </c>
      <c r="H114" s="6" t="inlineStr">
        <is>
          <t>Acceleration command, Deceleration command, Steering command, Turn Signal command</t>
        </is>
      </c>
      <c r="I114" s="6" t="n">
        <v>36</v>
      </c>
      <c r="J114" s="6" t="inlineStr">
        <is>
          <t>HW_ On-Ramp Merge_Excessive Acceleration_03
HW_ On-Ramp Merge_Excessive Deceleration_03
HW_ On-Ramp Merge_Excessive Steering_01
HW_ On-Ramp Merge_Excessive Steering_02
HW_ On-Ramp Merge_Excessive Steering_03
HW_ On-Ramp Merge_Excessive Steering_04
HW_ On-Ramp Merge_Insufficient Acceleration_02
HW_ On-Ramp Merge_Insufficient Deceleration_02
HW_ On-Ramp Merge_Insufficient Steering_01
HW_ On-Ramp Merge_Insufficient Steering_03</t>
        </is>
      </c>
      <c r="K114" s="6" t="inlineStr">
        <is>
          <t>HFS-040, HFS-044</t>
        </is>
      </c>
      <c r="L114" s="6" t="inlineStr">
        <is>
          <t>Slope — steep grade (up to ±8 %)</t>
        </is>
      </c>
      <c r="M114" s="6" t="inlineStr">
        <is>
          <t>Curvature — sharp curve (up to 0.25 1/m)</t>
        </is>
      </c>
    </row>
    <row r="115">
      <c r="A115" s="6" t="inlineStr">
        <is>
          <t>LC-RD-01</t>
        </is>
      </c>
      <c r="B115" s="6" t="inlineStr">
        <is>
          <t>mandatory lane change lane drop</t>
        </is>
      </c>
      <c r="C115" s="6" t="inlineStr">
        <is>
          <t>HW-LC</t>
        </is>
      </c>
      <c r="D115" s="16" t="inlineStr">
        <is>
          <t>justifié</t>
        </is>
      </c>
      <c r="E115" s="6" t="inlineStr">
        <is>
          <t>catalogue SERYTI</t>
        </is>
      </c>
      <c r="F115" s="6" t="inlineStr">
        <is>
          <t>Le HIRE de HW-LC relie une déviation de commande sollicitée par la scène (Acceleration command, Steering command, Turn Signal command) au hazard de l'abstract (H1, H2, H3)</t>
        </is>
      </c>
      <c r="G115" s="6" t="inlineStr">
        <is>
          <t>H1 Side collision, H2 Front collision, H3 Rear-end by follower</t>
        </is>
      </c>
      <c r="H115" s="6" t="inlineStr">
        <is>
          <t>Acceleration command, Steering command, Turn Signal command</t>
        </is>
      </c>
      <c r="I115" s="6" t="n">
        <v>35</v>
      </c>
      <c r="J115"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Acceleration_01
HW_ Lane Changes / Overtaking_Insufficient Acceleration_03
HW_ Lane Changes / Overtaking_Insufficient Steering_01
HW_ Lane Changes / Overtaking_Insufficient Steering_02</t>
        </is>
      </c>
      <c r="K115" s="6" t="inlineStr">
        <is>
          <t>HFS-019, HFS-020, HFS-021</t>
        </is>
      </c>
      <c r="L115" s="6" t="inlineStr"/>
      <c r="M115" s="6" t="inlineStr"/>
    </row>
    <row r="116">
      <c r="A116" s="6" t="inlineStr">
        <is>
          <t>LC-RD-01</t>
        </is>
      </c>
      <c r="B116" s="6" t="inlineStr">
        <is>
          <t>mandatory lane change lane drop</t>
        </is>
      </c>
      <c r="C116" s="6" t="inlineStr">
        <is>
          <t>HW-CRU</t>
        </is>
      </c>
      <c r="D116" s="16" t="inlineStr">
        <is>
          <t>justifié</t>
        </is>
      </c>
      <c r="E116" s="6" t="inlineStr">
        <is>
          <t>catalogue SERYTI</t>
        </is>
      </c>
      <c r="F116" s="6" t="inlineStr">
        <is>
          <t>Le HIRE de HW-CRU relie une déviation de commande sollicitée par la scène (Acceleration command, Steering command) au hazard de l'abstract (H1, H2, H3)</t>
        </is>
      </c>
      <c r="G116" s="6" t="inlineStr">
        <is>
          <t>H1 Side collision, H2 Front collision, H3 Rear-end by follower</t>
        </is>
      </c>
      <c r="H116" s="6" t="inlineStr">
        <is>
          <t>Acceleration command, Steering command, Turn Signal command</t>
        </is>
      </c>
      <c r="I116" s="6" t="n">
        <v>51</v>
      </c>
      <c r="J116" s="6" t="inlineStr">
        <is>
          <t>HW_ Lane-Centered Cruise_Excessive Acceleration_01
HW_ Lane-Centered Cruise_Excessive Acceleration_02
HW_ Lane-Centered Cruise_Excessive Acceleration_04
HW_ Lane-Centered Cruise_Excessive Steering_01
HW_ Lane-Centered Cruise_Excessive Steering_02
HW_ Lane-Centered Cruise_Excessive Steering_04
HW_ Lane-Centered Cruise_Insufficient Acceleration_01
HW_ Lane-Centered Cruise_Insufficient Acceleration_03
HW_ Lane-Centered Cruise_Insufficient Steering_01
HW_ Lane-Centered Cruise_Insufficient Steering_02</t>
        </is>
      </c>
      <c r="K116" s="6" t="inlineStr">
        <is>
          <t>HFS-029, HFS-030, HFS-031</t>
        </is>
      </c>
      <c r="L116" s="6" t="inlineStr"/>
      <c r="M116" s="6" t="inlineStr"/>
    </row>
    <row r="117">
      <c r="A117" s="6" t="inlineStr">
        <is>
          <t>LC-RD-02</t>
        </is>
      </c>
      <c r="B117" s="6" t="inlineStr">
        <is>
          <t>lane change in work zone lane closure</t>
        </is>
      </c>
      <c r="C117" s="6" t="inlineStr">
        <is>
          <t>HW-LC</t>
        </is>
      </c>
      <c r="D117" s="16" t="inlineStr">
        <is>
          <t>justifié</t>
        </is>
      </c>
      <c r="E117" s="6" t="inlineStr">
        <is>
          <t>catalogue SERYTI</t>
        </is>
      </c>
      <c r="F117" s="6" t="inlineStr">
        <is>
          <t>Le HIRE de HW-LC relie une déviation de commande sollicitée par la scène (Acceleration command, Deceleration command, Steering command, Turn Signal command) au hazard de l'abstract (H1, H2, H3)</t>
        </is>
      </c>
      <c r="G117" s="6" t="inlineStr">
        <is>
          <t>H1 Side collision, H2 Front collision, H3 Rear-end by follower</t>
        </is>
      </c>
      <c r="H117" s="6" t="inlineStr">
        <is>
          <t>Acceleration command, Brake Lights command, Deceleration command, Steering command, Turn Signal command</t>
        </is>
      </c>
      <c r="I117" s="6" t="n">
        <v>46</v>
      </c>
      <c r="J117"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117" s="6" t="inlineStr">
        <is>
          <t>HFS-019, HFS-020, HFS-021</t>
        </is>
      </c>
      <c r="L117" s="6" t="inlineStr"/>
      <c r="M117" s="6" t="inlineStr">
        <is>
          <t>Work Zones</t>
        </is>
      </c>
    </row>
    <row r="118">
      <c r="A118" s="6" t="inlineStr">
        <is>
          <t>LC-RD-02</t>
        </is>
      </c>
      <c r="B118" s="6" t="inlineStr">
        <is>
          <t>lane change in work zone lane closure</t>
        </is>
      </c>
      <c r="C118" s="6" t="inlineStr">
        <is>
          <t>HW-CRU</t>
        </is>
      </c>
      <c r="D118" s="16" t="inlineStr">
        <is>
          <t>justifié</t>
        </is>
      </c>
      <c r="E118" s="6" t="inlineStr">
        <is>
          <t>catalogue SERYTI</t>
        </is>
      </c>
      <c r="F118" s="6" t="inlineStr">
        <is>
          <t>Le HIRE de HW-CRU relie une déviation de commande sollicitée par la scène (Deceleration command, Steering command) au hazard de l'abstract (H1, H2, H3)</t>
        </is>
      </c>
      <c r="G118" s="6" t="inlineStr">
        <is>
          <t>H1 Side collision, H2 Front collision, H3 Rear-end by follower</t>
        </is>
      </c>
      <c r="H118" s="6" t="inlineStr">
        <is>
          <t>Brake Lights command, Deceleration command, Steering command</t>
        </is>
      </c>
      <c r="I118" s="6" t="n">
        <v>57</v>
      </c>
      <c r="J118" s="6" t="inlineStr">
        <is>
          <t>HW_ Lane-Centered Cruise_No Steering_07
HW_ Lane-Centered Cruise_Steering too late_05
HW_ Lane-Centered Cruise_Excessive Deceleration_01
HW_ Lane-Centered Cruise_Excessive Deceleration_02
HW_ Lane-Centered Cruise_Excessive Deceleration_04
HW_ Lane-Centered Cruise_Excessive Steering_01
HW_ Lane-Centered Cruise_Excessive Steering_02
HW_ Lane-Centered Cruise_Excessive Steering_04
HW_ Lane-Centered Cruise_Insufficient Deceleration_01
HW_ Lane-Centered Cruise_Insufficient Deceleration_03</t>
        </is>
      </c>
      <c r="K118" s="6" t="inlineStr">
        <is>
          <t>HFS-029, HFS-030, HFS-031</t>
        </is>
      </c>
      <c r="L118" s="6" t="inlineStr">
        <is>
          <t>Work Zones</t>
        </is>
      </c>
      <c r="M118" s="6" t="inlineStr"/>
    </row>
    <row r="119">
      <c r="A119" s="6" t="inlineStr">
        <is>
          <t>LC-RD-02</t>
        </is>
      </c>
      <c r="B119" s="6" t="inlineStr">
        <is>
          <t>lane change in work zone lane closure</t>
        </is>
      </c>
      <c r="C119" s="6" t="inlineStr">
        <is>
          <t>HW-FOL</t>
        </is>
      </c>
      <c r="D119" s="16" t="inlineStr">
        <is>
          <t>justifié</t>
        </is>
      </c>
      <c r="E119" s="6" t="inlineStr">
        <is>
          <t>catalogue SERYTI</t>
        </is>
      </c>
      <c r="F119" s="6" t="inlineStr">
        <is>
          <t>Le HIRE de HW-FOL relie une déviation de commande sollicitée par la scène (Brake Lights command, Deceleration command, Steering command) au hazard de l'abstract (H1, H2, H3)</t>
        </is>
      </c>
      <c r="G119" s="6" t="inlineStr">
        <is>
          <t>H1 Side collision, H2 Front collision, H3 Rear-end by follower</t>
        </is>
      </c>
      <c r="H119" s="6" t="inlineStr">
        <is>
          <t>Brake Lights command, Deceleration command, Steering command</t>
        </is>
      </c>
      <c r="I119" s="6" t="n">
        <v>45</v>
      </c>
      <c r="J119" s="6" t="inlineStr">
        <is>
          <t>HW_ Lane-Centered Adaptive Follow_Brake Lights too late_01
HW_ Lane-Centered Adaptive Follow_Excessive Deceleration_01
HW_ Lane-Centered Adaptive Follow_Excessive Deceleration_02
HW_ Lane-Centered Adaptive Follow_Excessive Deceleration_04
HW_ Lane-Centered Adaptive Follow_Excessive Steering_01
HW_ Lane-Centered Adaptive Follow_Excessive Steering_02
HW_ Lane-Centered Adaptive Follow_Excessive Steering_04
HW_ Lane-Centered Adaptive Follow_Insufficient Deceleration_01
HW_ Lane-Centered Adaptive Follow_Insufficient Deceleration_03
HW_ Lane-Centered Adaptive Follow_Insufficient Steering_01</t>
        </is>
      </c>
      <c r="K119" s="6" t="inlineStr">
        <is>
          <t>HFS-024, HFS-025, HFS-026</t>
        </is>
      </c>
      <c r="L119" s="6" t="inlineStr"/>
      <c r="M119" s="6" t="inlineStr">
        <is>
          <t>Work Zones</t>
        </is>
      </c>
    </row>
    <row r="120">
      <c r="A120" s="6" t="inlineStr">
        <is>
          <t>LC-RD-03</t>
        </is>
      </c>
      <c r="B120" s="6" t="inlineStr">
        <is>
          <t>lane change in weave section</t>
        </is>
      </c>
      <c r="C120" s="6" t="inlineStr">
        <is>
          <t>HW-LC</t>
        </is>
      </c>
      <c r="D120" s="16" t="inlineStr">
        <is>
          <t>justifié</t>
        </is>
      </c>
      <c r="E120" s="6" t="inlineStr">
        <is>
          <t>catalogue SERYTI</t>
        </is>
      </c>
      <c r="F120" s="6" t="inlineStr">
        <is>
          <t>Le HIRE de HW-LC relie une déviation de commande sollicitée par la scène (Acceleration command, Steering command, Turn Signal command) au hazard de l'abstract (H1, H2, H3)</t>
        </is>
      </c>
      <c r="G120" s="6" t="inlineStr">
        <is>
          <t>H1 Side collision, H2 Front collision, H3 Rear-end by follower</t>
        </is>
      </c>
      <c r="H120" s="6" t="inlineStr">
        <is>
          <t>Acceleration command, Steering command, Turn Signal command</t>
        </is>
      </c>
      <c r="I120" s="6" t="n">
        <v>35</v>
      </c>
      <c r="J120"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Acceleration_01
HW_ Lane Changes / Overtaking_Insufficient Acceleration_03
HW_ Lane Changes / Overtaking_Insufficient Steering_01
HW_ Lane Changes / Overtaking_Insufficient Steering_02</t>
        </is>
      </c>
      <c r="K120" s="6" t="inlineStr">
        <is>
          <t>HFS-019, HFS-020, HFS-021</t>
        </is>
      </c>
      <c r="L120" s="6" t="inlineStr"/>
      <c r="M120" s="6" t="inlineStr"/>
    </row>
    <row r="121">
      <c r="A121" s="6" t="inlineStr">
        <is>
          <t>LC-RD-03</t>
        </is>
      </c>
      <c r="B121" s="6" t="inlineStr">
        <is>
          <t>lane change in weave section</t>
        </is>
      </c>
      <c r="C121" s="6" t="inlineStr">
        <is>
          <t>HW-ONR</t>
        </is>
      </c>
      <c r="D121" s="16" t="inlineStr">
        <is>
          <t>justifié</t>
        </is>
      </c>
      <c r="E121" s="6" t="inlineStr">
        <is>
          <t>catalogue SERYTI</t>
        </is>
      </c>
      <c r="F121" s="6" t="inlineStr">
        <is>
          <t>Le HIRE de HW-ONR relie une déviation de commande sollicitée par la scène (Acceleration command, Deceleration command, Steering command, Turn Signal command) au hazard de l'abstract (H1, H2, H3)</t>
        </is>
      </c>
      <c r="G121" s="6" t="inlineStr">
        <is>
          <t>H1 Side collision, H2 Front collision, H3 Rear-end by follower</t>
        </is>
      </c>
      <c r="H121" s="6" t="inlineStr">
        <is>
          <t>Acceleration command, Deceleration command, Steering command, Turn Signal command</t>
        </is>
      </c>
      <c r="I121" s="6" t="n">
        <v>47</v>
      </c>
      <c r="J121" s="6" t="inlineStr">
        <is>
          <t>HW_ On-Ramp Merge_Excessive Acceleration_01
HW_ On-Ramp Merge_Excessive Acceleration_02
HW_ On-Ramp Merge_Excessive Acceleration_04
HW_ On-Ramp Merge_Excessive Deceleration_01
HW_ On-Ramp Merge_Excessive Deceleration_02
HW_ On-Ramp Merge_Excessive Deceleration_04
HW_ On-Ramp Merge_Excessive Steering_01
HW_ On-Ramp Merge_Excessive Steering_02
HW_ On-Ramp Merge_Excessive Steering_04
HW_ On-Ramp Merge_Insufficient Acceleration_01</t>
        </is>
      </c>
      <c r="K121" s="6" t="inlineStr">
        <is>
          <t>HFS-040, HFS-041, HFS-042</t>
        </is>
      </c>
      <c r="L121" s="6" t="inlineStr"/>
      <c r="M121" s="6" t="inlineStr"/>
    </row>
    <row r="122">
      <c r="A122" s="6" t="inlineStr">
        <is>
          <t>LC-RD-04</t>
        </is>
      </c>
      <c r="B122" s="6" t="inlineStr">
        <is>
          <t>mandatory lane change for exit</t>
        </is>
      </c>
      <c r="C122" s="6" t="inlineStr">
        <is>
          <t>HW-LC</t>
        </is>
      </c>
      <c r="D122" s="16" t="inlineStr">
        <is>
          <t>justifié</t>
        </is>
      </c>
      <c r="E122" s="6" t="inlineStr">
        <is>
          <t>catalogue SERYTI</t>
        </is>
      </c>
      <c r="F122" s="6" t="inlineStr">
        <is>
          <t>Le HIRE de HW-LC relie une déviation de commande sollicitée par la scène (Acceleration command, Steering command, Turn Signal command) au hazard de l'abstract (H1, H2, H3)</t>
        </is>
      </c>
      <c r="G122" s="6" t="inlineStr">
        <is>
          <t>H1 Side collision, H2 Front collision, H3 Rear-end by follower</t>
        </is>
      </c>
      <c r="H122" s="6" t="inlineStr">
        <is>
          <t>Acceleration command, Steering command, Turn Signal command</t>
        </is>
      </c>
      <c r="I122" s="6" t="n">
        <v>35</v>
      </c>
      <c r="J122"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Acceleration_01
HW_ Lane Changes / Overtaking_Insufficient Acceleration_03
HW_ Lane Changes / Overtaking_Insufficient Steering_01
HW_ Lane Changes / Overtaking_Insufficient Steering_02</t>
        </is>
      </c>
      <c r="K122" s="6" t="inlineStr">
        <is>
          <t>HFS-019, HFS-020, HFS-021</t>
        </is>
      </c>
      <c r="L122" s="6" t="inlineStr"/>
      <c r="M122" s="6" t="inlineStr"/>
    </row>
    <row r="123">
      <c r="A123" s="6" t="inlineStr">
        <is>
          <t>LC-RD-04</t>
        </is>
      </c>
      <c r="B123" s="6" t="inlineStr">
        <is>
          <t>mandatory lane change for exit</t>
        </is>
      </c>
      <c r="C123" s="6" t="inlineStr">
        <is>
          <t>HW-OFR</t>
        </is>
      </c>
      <c r="D123" s="16" t="inlineStr">
        <is>
          <t>justifié</t>
        </is>
      </c>
      <c r="E123" s="6" t="inlineStr">
        <is>
          <t>catalogue SERYTI</t>
        </is>
      </c>
      <c r="F123" s="6" t="inlineStr">
        <is>
          <t>Le HIRE de HW-OFR relie une déviation de commande sollicitée par la scène (Acceleration command, Deceleration command, Steering command, Turn Signal command) au hazard de l'abstract (H1, H2, H3)</t>
        </is>
      </c>
      <c r="G123" s="6" t="inlineStr">
        <is>
          <t>H1 Side collision, H2 Front collision, H3 Rear-end by follower</t>
        </is>
      </c>
      <c r="H123" s="6" t="inlineStr">
        <is>
          <t>Acceleration command, Deceleration command, Steering command, Turn Signal command</t>
        </is>
      </c>
      <c r="I123" s="6" t="n">
        <v>46</v>
      </c>
      <c r="J123" s="6" t="inlineStr">
        <is>
          <t>HW_ Off-Ramp Exit_Excessive Acceleration_01
HW_ Off-Ramp Exit_Excessive Acceleration_02
HW_ Off-Ramp Exit_Excessive Acceleration_04
HW_ Off-Ramp Exit_Excessive Deceleration_01
HW_ Off-Ramp Exit_Excessive Deceleration_02
HW_ Off-Ramp Exit_Excessive Deceleration_04
HW_ Off-Ramp Exit_Excessive Steering_01
HW_ Off-Ramp Exit_Excessive Steering_02
HW_ Off-Ramp Exit_Excessive Steering_04
HW_ Off-Ramp Exit_Insufficient Acceleration_01</t>
        </is>
      </c>
      <c r="K123" s="6" t="inlineStr">
        <is>
          <t>HFS-035, HFS-036, HFS-037</t>
        </is>
      </c>
      <c r="L123" s="6" t="inlineStr"/>
      <c r="M123" s="6" t="inlineStr"/>
    </row>
    <row r="124">
      <c r="A124" s="6" t="inlineStr">
        <is>
          <t>LC-RD-05</t>
        </is>
      </c>
      <c r="B124" s="6" t="inlineStr">
        <is>
          <t>lane change to yield to merging traffic</t>
        </is>
      </c>
      <c r="C124" s="6" t="inlineStr">
        <is>
          <t>HW-LC</t>
        </is>
      </c>
      <c r="D124" s="16" t="inlineStr">
        <is>
          <t>justifié</t>
        </is>
      </c>
      <c r="E124" s="6" t="inlineStr">
        <is>
          <t>catalogue SERYTI</t>
        </is>
      </c>
      <c r="F124" s="6" t="inlineStr">
        <is>
          <t>Le HIRE de HW-LC relie une déviation de commande sollicitée par la scène (Acceleration command, Deceleration command, Steering command, Turn Signal command) au hazard de l'abstract (H1, H2, H3)</t>
        </is>
      </c>
      <c r="G124" s="6" t="inlineStr">
        <is>
          <t>H1 Side collision, H2 Front collision, H3 Rear-end by follower</t>
        </is>
      </c>
      <c r="H124" s="6" t="inlineStr">
        <is>
          <t>Acceleration command, Deceleration command, Steering command, Turn Signal command</t>
        </is>
      </c>
      <c r="I124" s="6" t="n">
        <v>46</v>
      </c>
      <c r="J124"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124" s="6" t="inlineStr">
        <is>
          <t>HFS-019, HFS-020, HFS-021</t>
        </is>
      </c>
      <c r="L124" s="6" t="inlineStr"/>
      <c r="M124" s="6" t="inlineStr">
        <is>
          <t>Vehicles — dense traffic / cut-in</t>
        </is>
      </c>
    </row>
    <row r="125">
      <c r="A125" s="6" t="inlineStr">
        <is>
          <t>LC-RD-05</t>
        </is>
      </c>
      <c r="B125" s="6" t="inlineStr">
        <is>
          <t>lane change to yield to merging traffic</t>
        </is>
      </c>
      <c r="C125" s="6" t="inlineStr">
        <is>
          <t>HW-CRU</t>
        </is>
      </c>
      <c r="D125" s="16" t="inlineStr">
        <is>
          <t>justifié</t>
        </is>
      </c>
      <c r="E125" s="6" t="inlineStr">
        <is>
          <t>catalogue SERYTI</t>
        </is>
      </c>
      <c r="F125" s="6" t="inlineStr">
        <is>
          <t>Le HIRE de HW-CRU relie une déviation de commande sollicitée par la scène (Deceleration command, Steering command) au hazard de l'abstract (H1, H2, H3)</t>
        </is>
      </c>
      <c r="G125" s="6" t="inlineStr">
        <is>
          <t>H1 Side collision, H2 Front collision, H3 Rear-end by follower</t>
        </is>
      </c>
      <c r="H125" s="6" t="inlineStr">
        <is>
          <t>Deceleration command, Steering command</t>
        </is>
      </c>
      <c r="I125" s="6" t="n">
        <v>57</v>
      </c>
      <c r="J125" s="6" t="inlineStr">
        <is>
          <t>HW_ Lane-Centered Cruise_Excessive Deceleration_01
HW_ Lane-Centered Cruise_Excessive Deceleration_02
HW_ Lane-Centered Cruise_Excessive Deceleration_04
HW_ Lane-Centered Cruise_Excessive Steering_01
HW_ Lane-Centered Cruise_Excessive Steering_02
HW_ Lane-Centered Cruise_Excessive Steering_04
HW_ Lane-Centered Cruise_Insufficient Deceleration_01
HW_ Lane-Centered Cruise_Insufficient Deceleration_03
HW_ Lane-Centered Cruise_Insufficient Steering_01
HW_ Lane-Centered Cruise_Insufficient Steering_02</t>
        </is>
      </c>
      <c r="K125" s="6" t="inlineStr">
        <is>
          <t>HFS-029, HFS-030, HFS-031</t>
        </is>
      </c>
      <c r="L125" s="6" t="inlineStr"/>
      <c r="M125" s="6" t="inlineStr">
        <is>
          <t>Vehicles — dense traffic / cut-in</t>
        </is>
      </c>
    </row>
    <row r="126">
      <c r="A126" s="6" t="inlineStr">
        <is>
          <t>LC-RD-05</t>
        </is>
      </c>
      <c r="B126" s="6" t="inlineStr">
        <is>
          <t>lane change to yield to merging traffic</t>
        </is>
      </c>
      <c r="C126" s="6" t="inlineStr">
        <is>
          <t>HW-FOL</t>
        </is>
      </c>
      <c r="D126" s="16" t="inlineStr">
        <is>
          <t>justifié</t>
        </is>
      </c>
      <c r="E126" s="6" t="inlineStr">
        <is>
          <t>catalogue SERYTI</t>
        </is>
      </c>
      <c r="F126" s="6" t="inlineStr">
        <is>
          <t>Le HIRE de HW-FOL relie une déviation de commande sollicitée par la scène (Deceleration command, Steering command) au hazard de l'abstract (H1, H2, H3)</t>
        </is>
      </c>
      <c r="G126" s="6" t="inlineStr">
        <is>
          <t>H1 Side collision, H2 Front collision, H3 Rear-end by follower</t>
        </is>
      </c>
      <c r="H126" s="6" t="inlineStr">
        <is>
          <t>Deceleration command, Steering command</t>
        </is>
      </c>
      <c r="I126" s="6" t="n">
        <v>43</v>
      </c>
      <c r="J126" s="6" t="inlineStr">
        <is>
          <t>HW_ Lane-Centered Adaptive Follow_Deceleration too late_06
HW_ Lane-Centered Adaptive Follow_Excessive Deceleration_07
HW_ Lane-Centered Adaptive Follow_Excessive Deceleration_01
HW_ Lane-Centered Adaptive Follow_Excessive Deceleration_02
HW_ Lane-Centered Adaptive Follow_Excessive Deceleration_04
HW_ Lane-Centered Adaptive Follow_Excessive Steering_01
HW_ Lane-Centered Adaptive Follow_Excessive Steering_02
HW_ Lane-Centered Adaptive Follow_Excessive Steering_04
HW_ Lane-Centered Adaptive Follow_Insufficient Deceleration_01
HW_ Lane-Centered Adaptive Follow_Insufficient Deceleration_03</t>
        </is>
      </c>
      <c r="K126" s="6" t="inlineStr">
        <is>
          <t>HFS-024, HFS-025, HFS-026</t>
        </is>
      </c>
      <c r="L126" s="6" t="inlineStr">
        <is>
          <t>Vehicles — dense traffic / cut-in</t>
        </is>
      </c>
      <c r="M126" s="6" t="inlineStr"/>
    </row>
    <row r="127">
      <c r="A127" s="6" t="inlineStr">
        <is>
          <t>LC-RD-06</t>
        </is>
      </c>
      <c r="B127" s="6" t="inlineStr">
        <is>
          <t>lane change with degraded lane markings</t>
        </is>
      </c>
      <c r="C127" s="6" t="inlineStr">
        <is>
          <t>HW-LC</t>
        </is>
      </c>
      <c r="D127" s="16" t="inlineStr">
        <is>
          <t>justifié</t>
        </is>
      </c>
      <c r="E127" s="6" t="inlineStr">
        <is>
          <t>catalogue SERYTI</t>
        </is>
      </c>
      <c r="F127" s="6" t="inlineStr">
        <is>
          <t>Le HIRE de HW-LC relie une déviation de commande sollicitée par la scène (Acceleration command, Steering command, Turn Signal command) au hazard de l'abstract (H1, H2, H3)</t>
        </is>
      </c>
      <c r="G127" s="6" t="inlineStr">
        <is>
          <t>H1 Side collision, H2 Front collision, H3 Rear-end by follower</t>
        </is>
      </c>
      <c r="H127" s="6" t="inlineStr">
        <is>
          <t>Acceleration command, Steering command, Turn Signal command</t>
        </is>
      </c>
      <c r="I127" s="6" t="n">
        <v>35</v>
      </c>
      <c r="J127"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Acceleration_01
HW_ Lane Changes / Overtaking_Insufficient Acceleration_03
HW_ Lane Changes / Overtaking_Insufficient Steering_01
HW_ Lane Changes / Overtaking_Insufficient Steering_02</t>
        </is>
      </c>
      <c r="K127" s="6" t="inlineStr">
        <is>
          <t>HFS-019, HFS-020, HFS-021</t>
        </is>
      </c>
      <c r="L127" s="6" t="inlineStr"/>
      <c r="M127" s="6" t="inlineStr">
        <is>
          <t>Lane Boundary — degraded / absent markings</t>
        </is>
      </c>
    </row>
    <row r="128">
      <c r="A128" s="6" t="inlineStr">
        <is>
          <t>LC-RD-06</t>
        </is>
      </c>
      <c r="B128" s="6" t="inlineStr">
        <is>
          <t>lane change with degraded lane markings</t>
        </is>
      </c>
      <c r="C128" s="6" t="inlineStr">
        <is>
          <t>HW-CRU</t>
        </is>
      </c>
      <c r="D128" s="16" t="inlineStr">
        <is>
          <t>justifié</t>
        </is>
      </c>
      <c r="E128" s="6" t="inlineStr">
        <is>
          <t>catalogue SERYTI</t>
        </is>
      </c>
      <c r="F128" s="6" t="inlineStr">
        <is>
          <t>Le HIRE de HW-CRU relie une déviation de commande sollicitée par la scène (Steering command) au hazard de l'abstract (H1, H2, H3)</t>
        </is>
      </c>
      <c r="G128" s="6" t="inlineStr">
        <is>
          <t>H1 Side collision, H2 Front collision, H3 Rear-end by follower</t>
        </is>
      </c>
      <c r="H128" s="6" t="inlineStr">
        <is>
          <t>Steering command</t>
        </is>
      </c>
      <c r="I128" s="6" t="n">
        <v>38</v>
      </c>
      <c r="J128" s="6" t="inlineStr">
        <is>
          <t>HW_ Lane-Centered Cruise_Insufficient Steering_10
HW_ Lane-Centered Cruise_No Steering_06
HW_ Lane-Centered Cruise_Excessive Steering_01
HW_ Lane-Centered Cruise_Excessive Steering_02
HW_ Lane-Centered Cruise_Excessive Steering_04
HW_ Lane-Centered Cruise_Insufficient Steering_01
HW_ Lane-Centered Cruise_Insufficient Steering_02
HW_ Lane-Centered Cruise_Insufficient Steering_04
HW_ Lane-Centered Cruise_No Steering_01
HW_ Lane-Centered Cruise_No Steering_02</t>
        </is>
      </c>
      <c r="K128" s="6" t="inlineStr">
        <is>
          <t>HFS-029, HFS-030, HFS-031</t>
        </is>
      </c>
      <c r="L128" s="6" t="inlineStr">
        <is>
          <t>Lane Boundary — degraded / absent markings</t>
        </is>
      </c>
      <c r="M128" s="6" t="inlineStr"/>
    </row>
    <row r="129">
      <c r="A129" s="6" t="inlineStr">
        <is>
          <t>LC-RD-06</t>
        </is>
      </c>
      <c r="B129" s="6" t="inlineStr">
        <is>
          <t>lane change with degraded lane markings</t>
        </is>
      </c>
      <c r="C129" s="6" t="inlineStr">
        <is>
          <t>HW-FOL</t>
        </is>
      </c>
      <c r="D129" s="16" t="inlineStr">
        <is>
          <t>justifié</t>
        </is>
      </c>
      <c r="E129" s="6" t="inlineStr">
        <is>
          <t>catalogue SERYTI</t>
        </is>
      </c>
      <c r="F129" s="6" t="inlineStr">
        <is>
          <t>Le HIRE de HW-FOL relie une déviation de commande sollicitée par la scène (Steering command) au hazard de l'abstract (H1, H2, H3)</t>
        </is>
      </c>
      <c r="G129" s="6" t="inlineStr">
        <is>
          <t>H1 Side collision, H2 Front collision, H3 Rear-end by follower</t>
        </is>
      </c>
      <c r="H129" s="6" t="inlineStr">
        <is>
          <t>Steering command</t>
        </is>
      </c>
      <c r="I129" s="6" t="n">
        <v>17</v>
      </c>
      <c r="J129"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Steering_02
HW_ Lane-Centered Adaptive Follow_Insufficient Steering_04
HW_ Lane-Centered Adaptive Follow_No Steering_01
HW_ Lane-Centered Adaptive Follow_No Steering_02
HW_ Lane-Centered Adaptive Follow_No Steering_04
HW_ Lane-Centered Adaptive Follow_Steering for too long / stuck_01</t>
        </is>
      </c>
      <c r="K129" s="6" t="inlineStr">
        <is>
          <t>HFS-024, HFS-025, HFS-026</t>
        </is>
      </c>
      <c r="L129" s="6" t="inlineStr"/>
      <c r="M129" s="6" t="inlineStr">
        <is>
          <t>Lane Boundary — degraded / absent markings</t>
        </is>
      </c>
    </row>
    <row r="130">
      <c r="A130" s="6" t="inlineStr">
        <is>
          <t>LC-RD-07</t>
        </is>
      </c>
      <c r="B130" s="6" t="inlineStr">
        <is>
          <t>lane change on curve or grade</t>
        </is>
      </c>
      <c r="C130" s="6" t="inlineStr">
        <is>
          <t>HW-LC</t>
        </is>
      </c>
      <c r="D130" s="16" t="inlineStr">
        <is>
          <t>justifié</t>
        </is>
      </c>
      <c r="E130" s="6" t="inlineStr">
        <is>
          <t>catalogue SERYTI</t>
        </is>
      </c>
      <c r="F130" s="6" t="inlineStr">
        <is>
          <t>Le HIRE de HW-LC relie une déviation de commande sollicitée par la scène (Acceleration command, Deceleration command, Steering command, Turn Signal command) au hazard de l'abstract (H1, H2, H3, H5)</t>
        </is>
      </c>
      <c r="G130" s="6" t="inlineStr">
        <is>
          <t>H1 Side collision, H2 Front collision, H3 Rear-end by follower, H5 Loss of stability / control</t>
        </is>
      </c>
      <c r="H130" s="6" t="inlineStr">
        <is>
          <t>Acceleration command, Deceleration command, Steering command, Turn Signal command</t>
        </is>
      </c>
      <c r="I130" s="6" t="n">
        <v>59</v>
      </c>
      <c r="J130" s="6" t="inlineStr">
        <is>
          <t>HW_ Lane Changes / Overtaking_Excessive Acceleration_01
HW_ Lane Changes / Overtaking_Excessive Acceleration_02
HW_ Lane Changes / Overtaking_Excessive Acceleration_03
HW_ Lane Changes / Overtaking_Excessive Acceleration_04
HW_ Lane Changes / Overtaking_Excessive Deceleration_01
HW_ Lane Changes / Overtaking_Excessive Deceleration_02
HW_ Lane Changes / Overtaking_Excessive Deceleration_03
HW_ Lane Changes / Overtaking_Excessive Deceleration_04
HW_ Lane Changes / Overtaking_Excessive Steering_01
HW_ Lane Changes / Overtaking_Excessive Steering_02</t>
        </is>
      </c>
      <c r="K130" s="6" t="inlineStr">
        <is>
          <t>HFS-019, HFS-020, HFS-021, HFS-023</t>
        </is>
      </c>
      <c r="L130" s="6" t="inlineStr"/>
      <c r="M130" s="6" t="inlineStr">
        <is>
          <t>Slope — steep grade (up to ±8 %), Curvature — sharp curve (up to 0.25 1/m)</t>
        </is>
      </c>
    </row>
    <row r="131">
      <c r="A131" s="6" t="inlineStr">
        <is>
          <t>LC-RD-07</t>
        </is>
      </c>
      <c r="B131" s="6" t="inlineStr">
        <is>
          <t>lane change on curve or grade</t>
        </is>
      </c>
      <c r="C131" s="6" t="inlineStr">
        <is>
          <t>HW-CRU</t>
        </is>
      </c>
      <c r="D131" s="16" t="inlineStr">
        <is>
          <t>justifié</t>
        </is>
      </c>
      <c r="E131" s="6" t="inlineStr">
        <is>
          <t>catalogue SERYTI</t>
        </is>
      </c>
      <c r="F131" s="6" t="inlineStr">
        <is>
          <t>Le HIRE de HW-CRU relie une déviation de commande sollicitée par la scène (Acceleration command, Deceleration command, Steering command) au hazard de l'abstract (H1, H2, H3, H5)</t>
        </is>
      </c>
      <c r="G131" s="6" t="inlineStr">
        <is>
          <t>H1 Side collision, H2 Front collision, H3 Rear-end by follower, H5 Loss of stability / control</t>
        </is>
      </c>
      <c r="H131" s="6" t="inlineStr">
        <is>
          <t>Acceleration command, Deceleration command, Steering command</t>
        </is>
      </c>
      <c r="I131" s="6" t="n">
        <v>89</v>
      </c>
      <c r="J131" s="6" t="inlineStr">
        <is>
          <t>HW_ Lane-Centered Cruise_Excessive Acceleration_08
HW_ Lane-Centered Cruise_Insufficient Steering_08
HW_ Lane-Centered Cruise_Steering too late_04
HW_ Lane-Centered Cruise_Excessive Acceleration_01
HW_ Lane-Centered Cruise_Excessive Acceleration_02
HW_ Lane-Centered Cruise_Excessive Acceleration_03
HW_ Lane-Centered Cruise_Excessive Acceleration_04
HW_ Lane-Centered Cruise_Excessive Deceleration_01
HW_ Lane-Centered Cruise_Excessive Deceleration_02
HW_ Lane-Centered Cruise_Excessive Deceleration_03</t>
        </is>
      </c>
      <c r="K131" s="6" t="inlineStr">
        <is>
          <t>HFS-029, HFS-030, HFS-031, HFS-033</t>
        </is>
      </c>
      <c r="L131" s="6" t="inlineStr">
        <is>
          <t>Curvature — sharp curve (up to 0.25 1/m)</t>
        </is>
      </c>
      <c r="M131" s="6" t="inlineStr">
        <is>
          <t>Slope — steep grade (up to ±8 %)</t>
        </is>
      </c>
    </row>
    <row r="132">
      <c r="A132" s="6" t="inlineStr">
        <is>
          <t>LC-RD-07</t>
        </is>
      </c>
      <c r="B132" s="6" t="inlineStr">
        <is>
          <t>lane change on curve or grade</t>
        </is>
      </c>
      <c r="C132" s="6" t="inlineStr">
        <is>
          <t>HW-FOL</t>
        </is>
      </c>
      <c r="D132" s="16" t="inlineStr">
        <is>
          <t>justifié</t>
        </is>
      </c>
      <c r="E132" s="6" t="inlineStr">
        <is>
          <t>catalogue SERYTI</t>
        </is>
      </c>
      <c r="F132" s="6" t="inlineStr">
        <is>
          <t>Le HIRE de HW-FOL relie une déviation de commande sollicitée par la scène (Acceleration command, Deceleration command, Steering command) au hazard de l'abstract (H1, H2, H3, H5)</t>
        </is>
      </c>
      <c r="G132" s="6" t="inlineStr">
        <is>
          <t>H1 Side collision, H2 Front collision, H3 Rear-end by follower, H5 Loss of stability / control</t>
        </is>
      </c>
      <c r="H132" s="6" t="inlineStr">
        <is>
          <t>Acceleration command, Deceleration command, Steering command</t>
        </is>
      </c>
      <c r="I132" s="6" t="n">
        <v>68</v>
      </c>
      <c r="J132" s="6" t="inlineStr">
        <is>
          <t>HW_ Lane-Centered Adaptive Follow_Deceleration too late_05
HW_ Lane-Centered Adaptive Follow_Insufficient Deceleration_09
HW_ Lane-Centered Adaptive Follow_Excessive Acceleration_01
HW_ Lane-Centered Adaptive Follow_Excessive Acceleration_02
HW_ Lane-Centered Adaptive Follow_Excessive Acceleration_03
HW_ Lane-Centered Adaptive Follow_Excessive Acceleration_04
HW_ Lane-Centered Adaptive Follow_Excessive Deceleration_01
HW_ Lane-Centered Adaptive Follow_Excessive Deceleration_02
HW_ Lane-Centered Adaptive Follow_Excessive Deceleration_03
HW_ Lane-Centered Adaptive Follow_Excessive Deceleration_04</t>
        </is>
      </c>
      <c r="K132" s="6" t="inlineStr">
        <is>
          <t>HFS-024, HFS-025, HFS-026, HFS-028</t>
        </is>
      </c>
      <c r="L132" s="6" t="inlineStr">
        <is>
          <t>Slope — steep grade (up to ±8 %)</t>
        </is>
      </c>
      <c r="M132" s="6" t="inlineStr">
        <is>
          <t>Curvature — sharp curve (up to 0.25 1/m)</t>
        </is>
      </c>
    </row>
    <row r="133">
      <c r="A133" s="6" t="inlineStr">
        <is>
          <t>LC-RD-08</t>
        </is>
      </c>
      <c r="B133" s="6" t="inlineStr">
        <is>
          <t>lane change with map lane mismatch</t>
        </is>
      </c>
      <c r="C133" s="6" t="inlineStr">
        <is>
          <t>HW-LC</t>
        </is>
      </c>
      <c r="D133" s="16" t="inlineStr">
        <is>
          <t>justifié</t>
        </is>
      </c>
      <c r="E133" s="6" t="inlineStr">
        <is>
          <t>catalogue SERYTI</t>
        </is>
      </c>
      <c r="F133" s="6" t="inlineStr">
        <is>
          <t>Le HIRE de HW-LC relie une déviation de commande sollicitée par la scène (Acceleration command, Steering command, Turn Signal command) au hazard de l'abstract (H1)</t>
        </is>
      </c>
      <c r="G133" s="6" t="inlineStr">
        <is>
          <t>H1 Side collision</t>
        </is>
      </c>
      <c r="H133" s="6" t="inlineStr">
        <is>
          <t>Acceleration command, Steering command, Turn Signal command</t>
        </is>
      </c>
      <c r="I133" s="6" t="n">
        <v>23</v>
      </c>
      <c r="J133" s="6" t="inlineStr">
        <is>
          <t>HW_ Lane Changes / Overtaking_Excessive Steering_01
HW_ Lane Changes / Overtaking_Excessive Steering_02
HW_ Lane Changes / Overtaking_Excessive Steering_04
HW_ Lane Changes / Overtaking_Insufficient Steering_01
HW_ Lane Changes / Overtaking_Insufficient Steering_04
HW_ Lane Changes / Overtaking_No Acceleration_02
HW_ Lane Changes / Overtaking_No Steering_01
HW_ Lane Changes / Overtaking_No Steering_04
HW_ Lane Changes / Overtaking_No Turn Signal_01
HW_ Lane Changes / Overtaking_No Turn Signal_02</t>
        </is>
      </c>
      <c r="K133" s="6" t="inlineStr">
        <is>
          <t>HFS-019</t>
        </is>
      </c>
      <c r="L133" s="6" t="inlineStr"/>
      <c r="M133" s="6" t="inlineStr"/>
    </row>
    <row r="134">
      <c r="A134" s="6" t="inlineStr">
        <is>
          <t>LC-RD-08</t>
        </is>
      </c>
      <c r="B134" s="6" t="inlineStr">
        <is>
          <t>lane change with map lane mismatch</t>
        </is>
      </c>
      <c r="C134" s="6" t="inlineStr">
        <is>
          <t>HW-CRU</t>
        </is>
      </c>
      <c r="D134" s="16" t="inlineStr">
        <is>
          <t>justifié</t>
        </is>
      </c>
      <c r="E134" s="6" t="inlineStr">
        <is>
          <t>catalogue SERYTI</t>
        </is>
      </c>
      <c r="F134" s="6" t="inlineStr">
        <is>
          <t>Le HIRE de HW-CRU relie une déviation de commande sollicitée par la scène (Steering command) au hazard de l'abstract (H1)</t>
        </is>
      </c>
      <c r="G134" s="6" t="inlineStr">
        <is>
          <t>H1 Side collision</t>
        </is>
      </c>
      <c r="H134" s="6" t="inlineStr">
        <is>
          <t>Steering command</t>
        </is>
      </c>
      <c r="I134" s="6" t="n">
        <v>31</v>
      </c>
      <c r="J134" s="6" t="inlineStr">
        <is>
          <t>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
HW_ Lane-Centered Cruise_Steering in opposite direction_01</t>
        </is>
      </c>
      <c r="K134" s="6" t="inlineStr">
        <is>
          <t>HFS-029</t>
        </is>
      </c>
      <c r="L134" s="6" t="inlineStr"/>
      <c r="M134" s="6" t="inlineStr"/>
    </row>
    <row r="135">
      <c r="A135" s="6" t="inlineStr">
        <is>
          <t>RD-09</t>
        </is>
      </c>
      <c r="B135" s="6" t="inlineStr">
        <is>
          <t>Voie plus étroite que 3,5 m</t>
        </is>
      </c>
      <c r="C135" s="6" t="inlineStr">
        <is>
          <t>HW-CRU</t>
        </is>
      </c>
      <c r="D135" s="16" t="inlineStr">
        <is>
          <t>justifié</t>
        </is>
      </c>
      <c r="E135" s="6" t="inlineStr">
        <is>
          <t>catalogue SERYTI</t>
        </is>
      </c>
      <c r="F135" s="6" t="inlineStr">
        <is>
          <t>Le HIRE de HW-CRU relie une déviation de commande sollicitée par la scène (Steering command) au hazard de l'abstract (H1)</t>
        </is>
      </c>
      <c r="G135" s="6" t="inlineStr">
        <is>
          <t>H1 Side collision</t>
        </is>
      </c>
      <c r="H135" s="6" t="inlineStr">
        <is>
          <t>Steering command</t>
        </is>
      </c>
      <c r="I135" s="6" t="n">
        <v>31</v>
      </c>
      <c r="J135" s="6" t="inlineStr">
        <is>
          <t>HW_ Lane-Centered Cruise_Excessive Steering_07
HW_ Lane-Centered Cruise_Insufficient Steering_09
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t>
        </is>
      </c>
      <c r="K135" s="6" t="inlineStr">
        <is>
          <t>HFS-029</t>
        </is>
      </c>
      <c r="L135" s="6" t="inlineStr">
        <is>
          <t>Lane Width — narrow (down to 2.5 m)</t>
        </is>
      </c>
      <c r="M135" s="6" t="inlineStr"/>
    </row>
    <row r="136">
      <c r="A136" s="6" t="inlineStr">
        <is>
          <t>RD-09</t>
        </is>
      </c>
      <c r="B136" s="6" t="inlineStr">
        <is>
          <t>Voie plus étroite que 3,5 m</t>
        </is>
      </c>
      <c r="C136" s="6" t="inlineStr">
        <is>
          <t>HW-FOL</t>
        </is>
      </c>
      <c r="D136" s="16" t="inlineStr">
        <is>
          <t>justifié</t>
        </is>
      </c>
      <c r="E136" s="6" t="inlineStr">
        <is>
          <t>catalogue SERYTI</t>
        </is>
      </c>
      <c r="F136" s="6" t="inlineStr">
        <is>
          <t>Le HIRE de HW-FOL relie une déviation de commande sollicitée par la scène (Steering command) au hazard de l'abstract (H1)</t>
        </is>
      </c>
      <c r="G136" s="6" t="inlineStr">
        <is>
          <t>H1 Side collision</t>
        </is>
      </c>
      <c r="H136" s="6" t="inlineStr">
        <is>
          <t>Steering command</t>
        </is>
      </c>
      <c r="I136" s="6" t="n">
        <v>15</v>
      </c>
      <c r="J136"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136" s="6" t="inlineStr">
        <is>
          <t>HFS-024</t>
        </is>
      </c>
      <c r="L136" s="6" t="inlineStr"/>
      <c r="M136" s="6" t="inlineStr">
        <is>
          <t>Lane Width — narrow (down to 2.5 m)</t>
        </is>
      </c>
    </row>
    <row r="137">
      <c r="A137" s="6" t="inlineStr">
        <is>
          <t>RD-10</t>
        </is>
      </c>
      <c r="B137" s="6" t="inlineStr">
        <is>
          <t>Changement de limite de vitesse</t>
        </is>
      </c>
      <c r="C137" s="6" t="inlineStr">
        <is>
          <t>HW-CRU</t>
        </is>
      </c>
      <c r="D137" s="16" t="inlineStr">
        <is>
          <t>justifié</t>
        </is>
      </c>
      <c r="E137" s="6" t="inlineStr">
        <is>
          <t>catalogue SERYTI</t>
        </is>
      </c>
      <c r="F137" s="6" t="inlineStr">
        <is>
          <t>Le HIRE de HW-CRU relie une déviation de commande sollicitée par la scène (Acceleration command, Deceleration command, Steering command) au hazard de l'abstract (H2)</t>
        </is>
      </c>
      <c r="G137" s="6" t="inlineStr">
        <is>
          <t>H2 Front collision</t>
        </is>
      </c>
      <c r="H137" s="6" t="inlineStr">
        <is>
          <t>Acceleration command, Deceleration command, Steering command</t>
        </is>
      </c>
      <c r="I137" s="6" t="n">
        <v>23</v>
      </c>
      <c r="J137" s="6" t="inlineStr">
        <is>
          <t>HW_ Lane-Centered Cruise_Excessive Acceleration_01
HW_ Lane-Centered Cruise_Excessive Acceleration_02
HW_ Lane-Centered Cruise_Excessive Acceleration_04
HW_ Lane-Centered Cruise_Insufficient Deceleration_01
HW_ Lane-Centered Cruise_Insufficient Deceleration_03
HW_ Lane-Centered Cruise_No Deceleration_01
HW_ Lane-Centered Cruise_No Deceleration_04
HW_ Lane-Centered Cruise_No Steering_02
HW_ Lane-Centered Cruise_Unintended Acceleration_01
HW_ Lane-Centered Cruise_Unintended Acceleration_02</t>
        </is>
      </c>
      <c r="K137" s="6" t="inlineStr">
        <is>
          <t>HFS-030</t>
        </is>
      </c>
      <c r="L137" s="6" t="inlineStr"/>
      <c r="M137" s="6" t="inlineStr"/>
    </row>
    <row r="138">
      <c r="A138" s="6" t="inlineStr">
        <is>
          <t>RD-10</t>
        </is>
      </c>
      <c r="B138" s="6" t="inlineStr">
        <is>
          <t>Changement de limite de vitesse</t>
        </is>
      </c>
      <c r="C138" s="6" t="inlineStr">
        <is>
          <t>HW-FOL</t>
        </is>
      </c>
      <c r="D138" s="16" t="inlineStr">
        <is>
          <t>justifié</t>
        </is>
      </c>
      <c r="E138" s="6" t="inlineStr">
        <is>
          <t>catalogue SERYTI</t>
        </is>
      </c>
      <c r="F138" s="6" t="inlineStr">
        <is>
          <t>Le HIRE de HW-FOL relie une déviation de commande sollicitée par la scène (Acceleration command, Deceleration command, Steering command) au hazard de l'abstract (H2)</t>
        </is>
      </c>
      <c r="G138" s="6" t="inlineStr">
        <is>
          <t>H2 Front collision</t>
        </is>
      </c>
      <c r="H138" s="6" t="inlineStr">
        <is>
          <t>Acceleration command, Deceleration command, Steering command</t>
        </is>
      </c>
      <c r="I138" s="6" t="n">
        <v>25</v>
      </c>
      <c r="J138"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Follow_Unintended Acceleration_01
HW_ Lane-Centered Adaptive Follow_Unintended Acceleration_02</t>
        </is>
      </c>
      <c r="K138" s="6" t="inlineStr">
        <is>
          <t>HFS-025</t>
        </is>
      </c>
      <c r="L138" s="6" t="inlineStr"/>
      <c r="M138" s="6" t="inlineStr"/>
    </row>
    <row r="139">
      <c r="A139" s="6" t="inlineStr">
        <is>
          <t>RD-11</t>
        </is>
      </c>
      <c r="B139" s="6" t="inlineStr">
        <is>
          <t>Pas d'accotement (pont, viaduc)</t>
        </is>
      </c>
      <c r="C139" s="6" t="inlineStr">
        <is>
          <t>HW-CSS</t>
        </is>
      </c>
      <c r="D139" s="16" t="inlineStr">
        <is>
          <t>justifié</t>
        </is>
      </c>
      <c r="E139" s="6" t="inlineStr">
        <is>
          <t>catalogue SERYTI</t>
        </is>
      </c>
      <c r="F139" s="6" t="inlineStr">
        <is>
          <t>Le HIRE de HW-CSS relie une déviation de commande sollicitée par la scène (Acceleration command, Deceleration command, Hazard Lights command, Steering command) au hazard de l'abstract (H3)</t>
        </is>
      </c>
      <c r="G139" s="6" t="inlineStr">
        <is>
          <t>H3 Rear-end by follower</t>
        </is>
      </c>
      <c r="H139" s="6" t="inlineStr">
        <is>
          <t>Acceleration command, Brake Lights command, Deceleration command, Hazard Lights command, Steering command, Turn Signal command</t>
        </is>
      </c>
      <c r="I139" s="6" t="n">
        <v>11</v>
      </c>
      <c r="J139" s="6" t="inlineStr">
        <is>
          <t>HW_ Controlled Stop on Shoulder_No Steering_03
HW_ Controlled Stop on Shoulder_Excessive Deceleration_01
HW_ Controlled Stop on Shoulder_Excessive Deceleration_03
HW_ Controlled Stop on Shoulder_Hazard Lights too late_01
HW_ Controlled Stop on Shoulder_Hazard Lights too late_02
HW_ Controlled Stop on Shoulder_Hazard Lights too late_03
HW_ Controlled Stop on Shoulder_No Acceleration_01
HW_ Controlled Stop on Shoulder_Unintended Deceleration_01
HW_ Controlled Stop on Shoulder_Unintended Deceleration_03
HW_ Controlled Stop on Shoulder_No Steering_04</t>
        </is>
      </c>
      <c r="K139" s="6" t="inlineStr">
        <is>
          <t>HFS-005</t>
        </is>
      </c>
      <c r="L139" s="6" t="inlineStr">
        <is>
          <t>Shoulder — absent (no shoulder)</t>
        </is>
      </c>
      <c r="M139" s="6" t="inlineStr"/>
    </row>
    <row r="140">
      <c r="A140" s="6" t="inlineStr">
        <is>
          <t>RD-11</t>
        </is>
      </c>
      <c r="B140" s="6" t="inlineStr">
        <is>
          <t>Pas d'accotement (pont, viaduc)</t>
        </is>
      </c>
      <c r="C140" s="6" t="inlineStr">
        <is>
          <t>HW-ESL</t>
        </is>
      </c>
      <c r="D140" s="16" t="inlineStr">
        <is>
          <t>justifié</t>
        </is>
      </c>
      <c r="E140" s="6" t="inlineStr">
        <is>
          <t>catalogue SERYTI</t>
        </is>
      </c>
      <c r="F140" s="6" t="inlineStr">
        <is>
          <t>Le HIRE de HW-ESL relie une déviation de commande sollicitée par la scène (Acceleration command, Deceleration command, Hazard Lights command) au hazard de l'abstract (H3)</t>
        </is>
      </c>
      <c r="G140" s="6" t="inlineStr">
        <is>
          <t>H3 Rear-end by follower</t>
        </is>
      </c>
      <c r="H140" s="6" t="inlineStr">
        <is>
          <t>Acceleration command, Brake Lights command, Deceleration command, Hazard Lights command</t>
        </is>
      </c>
      <c r="I140" s="6" t="n">
        <v>10</v>
      </c>
      <c r="J140" s="6" t="inlineStr">
        <is>
          <t>HW_ Stop in Lane_Deceleration for too long / stuck_01
HW_ Stop in Lane_Unintended Deceleration_01
HW_ Emergency Stop in Lane_Excessive Deceleration_01
HW_ Emergency Stop in Lane_Excessive Deceleration_03
HW_ Emergency Stop in Lane_Hazard Lights too late_01
HW_ Emergency Stop in Lane_Hazard Lights too late_02
HW_ Emergency Stop in Lane_Hazard Lights too late_03
HW_ Emergency Stop in Lane_No Acceleration_01
HW_ Emergency Stop in Lane_Unintended Deceleration_01
HW_ Emergency Stop in Lane_Unintended Deceleration_03</t>
        </is>
      </c>
      <c r="K140" s="6" t="inlineStr">
        <is>
          <t>HFS-016, HFS-045</t>
        </is>
      </c>
      <c r="L140" s="6" t="inlineStr">
        <is>
          <t>Shoulder — absent (no shoulder)</t>
        </is>
      </c>
      <c r="M140" s="6" t="inlineStr"/>
    </row>
    <row r="141">
      <c r="A141" s="6" t="inlineStr">
        <is>
          <t>RD-12</t>
        </is>
      </c>
      <c r="B141" s="6" t="inlineStr">
        <is>
          <t>Rafale de vent latéral</t>
        </is>
      </c>
      <c r="C141" s="6" t="inlineStr">
        <is>
          <t>HW-CRU</t>
        </is>
      </c>
      <c r="D141" s="16" t="inlineStr">
        <is>
          <t>justifié</t>
        </is>
      </c>
      <c r="E141" s="6" t="inlineStr">
        <is>
          <t>catalogue SERYTI</t>
        </is>
      </c>
      <c r="F141" s="6" t="inlineStr">
        <is>
          <t>Le HIRE de HW-CRU relie une déviation de commande sollicitée par la scène (Steering command) au hazard de l'abstract (H1, H5)</t>
        </is>
      </c>
      <c r="G141" s="6" t="inlineStr">
        <is>
          <t>H1 Side collision, H5 Loss of stability / control</t>
        </is>
      </c>
      <c r="H141" s="6" t="inlineStr">
        <is>
          <t>Steering command</t>
        </is>
      </c>
      <c r="I141" s="6" t="n">
        <v>40</v>
      </c>
      <c r="J141" s="6" t="inlineStr">
        <is>
          <t>HW_ Lane-Centered Cruise_Insufficient Steering_05
HW_ Lane-Centered Cruise_Insufficient Steering_06
HW_ Lane-Centered Cruise_Steering too late_02
HW_ Lane-Centered Cruise_Excessive Steering_01
HW_ Lane-Centered Cruise_Excessive Steering_02
HW_ Lane-Centered Cruise_Excessive Steering_03
HW_ Lane-Centered Cruise_Excessive Steering_04
HW_ Lane-Centered Cruise_Insufficient Steering_01
HW_ Lane-Centered Cruise_Insufficient Steering_03
HW_ Lane-Centered Cruise_Insufficient Steering_04</t>
        </is>
      </c>
      <c r="K141" s="6" t="inlineStr">
        <is>
          <t>HFS-029, HFS-033</t>
        </is>
      </c>
      <c r="L141" s="6" t="inlineStr">
        <is>
          <t>Wind — strong crosswind / gusts</t>
        </is>
      </c>
      <c r="M141" s="6" t="inlineStr"/>
    </row>
    <row r="142">
      <c r="A142" s="6" t="inlineStr">
        <is>
          <t>RD-12</t>
        </is>
      </c>
      <c r="B142" s="6" t="inlineStr">
        <is>
          <t>Rafale de vent latéral</t>
        </is>
      </c>
      <c r="C142" s="6" t="inlineStr">
        <is>
          <t>HW-FOL</t>
        </is>
      </c>
      <c r="D142" s="16" t="inlineStr">
        <is>
          <t>justifié</t>
        </is>
      </c>
      <c r="E142" s="6" t="inlineStr">
        <is>
          <t>catalogue SERYTI</t>
        </is>
      </c>
      <c r="F142" s="6" t="inlineStr">
        <is>
          <t>Le HIRE de HW-FOL relie une déviation de commande sollicitée par la scène (Steering command) au hazard de l'abstract (H1, H5)</t>
        </is>
      </c>
      <c r="G142" s="6" t="inlineStr">
        <is>
          <t>H1 Side collision, H5 Loss of stability / control</t>
        </is>
      </c>
      <c r="H142" s="6" t="inlineStr">
        <is>
          <t>Steering command</t>
        </is>
      </c>
      <c r="I142" s="6" t="n">
        <v>20</v>
      </c>
      <c r="J142" s="6" t="inlineStr">
        <is>
          <t>HW_ Lane-Centered Adaptive Follow_Excessive Steering_01
HW_ Lane-Centered Adaptive Follow_Excessive Steering_02
HW_ Lane-Centered Adaptive Follow_Excessive Steering_03
HW_ Lane-Centered Adaptive Follow_Excessive Steering_04
HW_ Lane-Centered Adaptive Follow_Insufficient Steering_01
HW_ Lane-Centered Adaptive Follow_Insufficient Steering_03
HW_ Lane-Centered Adaptive Follow_Insufficient Steering_04
HW_ Lane-Centered Adaptive Follow_No Steering_01
HW_ Lane-Centered Adaptive Follow_No Steering_03
HW_ Lane-Centered Adaptive Follow_No Steering_04</t>
        </is>
      </c>
      <c r="K142" s="6" t="inlineStr">
        <is>
          <t>HFS-024, HFS-028</t>
        </is>
      </c>
      <c r="L142" s="6" t="inlineStr">
        <is>
          <t>Wind — strong crosswind / gusts</t>
        </is>
      </c>
      <c r="M142" s="6" t="inlineStr"/>
    </row>
    <row r="143">
      <c r="A143" s="6" t="inlineStr">
        <is>
          <t>RD-12</t>
        </is>
      </c>
      <c r="B143" s="6" t="inlineStr">
        <is>
          <t>Rafale de vent latéral</t>
        </is>
      </c>
      <c r="C143" s="6" t="inlineStr">
        <is>
          <t>HW-LC</t>
        </is>
      </c>
      <c r="D143" s="16" t="inlineStr">
        <is>
          <t>justifié</t>
        </is>
      </c>
      <c r="E143" s="6" t="inlineStr">
        <is>
          <t>catalogue SERYTI</t>
        </is>
      </c>
      <c r="F143" s="6" t="inlineStr">
        <is>
          <t>Le HIRE de HW-LC relie une déviation de commande sollicitée par la scène (Acceleration command, Steering command, Turn Signal command) au hazard de l'abstract (H1, H5)</t>
        </is>
      </c>
      <c r="G143" s="6" t="inlineStr">
        <is>
          <t>H1 Side collision, H5 Loss of stability / control</t>
        </is>
      </c>
      <c r="H143" s="6" t="inlineStr">
        <is>
          <t>Acceleration command, Steering command, Turn Signal command</t>
        </is>
      </c>
      <c r="I143" s="6" t="n">
        <v>32</v>
      </c>
      <c r="J143" s="6" t="inlineStr">
        <is>
          <t>HW_ Lane Changes / Overtaking_Excessive Steering_05
HW_ Lane Changes / Overtaking_Excessive Acceleration_03
HW_ Lane Changes / Overtaking_Excessive Steering_01
HW_ Lane Changes / Overtaking_Excessive Steering_02
HW_ Lane Changes / Overtaking_Excessive Steering_03
HW_ Lane Changes / Overtaking_Excessive Steering_04
HW_ Lane Changes / Overtaking_Insufficient Acceleration_02
HW_ Lane Changes / Overtaking_Insufficient Steering_01
HW_ Lane Changes / Overtaking_Insufficient Steering_03
HW_ Lane Changes / Overtaking_Insufficient Steering_04</t>
        </is>
      </c>
      <c r="K143" s="6" t="inlineStr">
        <is>
          <t>HFS-019, HFS-023</t>
        </is>
      </c>
      <c r="L143" s="6" t="inlineStr">
        <is>
          <t>Wind — strong crosswind / gusts</t>
        </is>
      </c>
      <c r="M143" s="6" t="inlineStr"/>
    </row>
    <row r="144">
      <c r="A144" s="6" t="inlineStr">
        <is>
          <t>RD-13</t>
        </is>
      </c>
      <c r="B144" s="6" t="inlineStr">
        <is>
          <t>Forte descente avec charge lourde</t>
        </is>
      </c>
      <c r="C144" s="6" t="inlineStr">
        <is>
          <t>HW-CRU</t>
        </is>
      </c>
      <c r="D144" s="16" t="inlineStr">
        <is>
          <t>justifié</t>
        </is>
      </c>
      <c r="E144" s="6" t="inlineStr">
        <is>
          <t>catalogue SERYTI</t>
        </is>
      </c>
      <c r="F144" s="6" t="inlineStr">
        <is>
          <t>Le HIRE de HW-CRU relie une déviation de commande sollicitée par la scène (Acceleration command, Deceleration command) au hazard de l'abstract (H2, H5)</t>
        </is>
      </c>
      <c r="G144" s="6" t="inlineStr">
        <is>
          <t>H2 Front collision, H5 Loss of stability / control</t>
        </is>
      </c>
      <c r="H144" s="6" t="inlineStr">
        <is>
          <t>Acceleration command, Brake Lights command, Deceleration command</t>
        </is>
      </c>
      <c r="I144" s="6" t="n">
        <v>27</v>
      </c>
      <c r="J144" s="6" t="inlineStr">
        <is>
          <t>HW_ Lane-Centered Cruise_Excessive Acceleration_01
HW_ Lane-Centered Cruise_Excessive Acceleration_02
HW_ Lane-Centered Cruise_Excessive Acceleration_03
HW_ Lane-Centered Cruise_Excessive Acceleration_04
HW_ Lane-Centered Cruise_Excessive Deceleration_03
HW_ Lane-Centered Cruise_Insufficient Acceleration_02
HW_ Lane-Centered Cruise_Insufficient Deceleration_01
HW_ Lane-Centered Cruise_Insufficient Deceleration_02
HW_ Lane-Centered Cruise_Insufficient Deceleration_03
HW_ Lane-Centered Cruise_No Deceleration_01</t>
        </is>
      </c>
      <c r="K144" s="6" t="inlineStr">
        <is>
          <t>HFS-030, HFS-033</t>
        </is>
      </c>
      <c r="L144" s="6" t="inlineStr"/>
      <c r="M144" s="6" t="inlineStr">
        <is>
          <t>Slope — steep grade (up to ±8 %)</t>
        </is>
      </c>
    </row>
    <row r="145">
      <c r="A145" s="6" t="inlineStr">
        <is>
          <t>RD-13</t>
        </is>
      </c>
      <c r="B145" s="6" t="inlineStr">
        <is>
          <t>Forte descente avec charge lourde</t>
        </is>
      </c>
      <c r="C145" s="6" t="inlineStr">
        <is>
          <t>HW-FOL</t>
        </is>
      </c>
      <c r="D145" s="16" t="inlineStr">
        <is>
          <t>justifié</t>
        </is>
      </c>
      <c r="E145" s="6" t="inlineStr">
        <is>
          <t>catalogue SERYTI</t>
        </is>
      </c>
      <c r="F145" s="6" t="inlineStr">
        <is>
          <t>Le HIRE de HW-FOL relie une déviation de commande sollicitée par la scène (Acceleration command, Deceleration command) au hazard de l'abstract (H2, H5)</t>
        </is>
      </c>
      <c r="G145" s="6" t="inlineStr">
        <is>
          <t>H2 Front collision, H5 Loss of stability / control</t>
        </is>
      </c>
      <c r="H145" s="6" t="inlineStr">
        <is>
          <t>Acceleration command, Brake Lights command, Deceleration command</t>
        </is>
      </c>
      <c r="I145" s="6" t="n">
        <v>33</v>
      </c>
      <c r="J145" s="6" t="inlineStr">
        <is>
          <t>HW_ Lane-Centered Adaptive Follow_Deceleration too late_05
HW_ Lane-Centered Adaptive Follow_Insufficient Deceleration_09
HW_ Lane-Centered Adaptive Follow_Excessive Acceleration_01
HW_ Lane-Centered Adaptive Follow_Excessive Acceleration_02
HW_ Lane-Centered Adaptive Follow_Excessive Acceleration_03
HW_ Lane-Centered Adaptive Follow_Excessive Acceleration_04
HW_ Lane-Centered Adaptive Follow_Excessive Deceleration_03
HW_ Lane-Centered Adaptive Follow_Insufficient Acceleration_02
HW_ Lane-Centered Adaptive Follow_Insufficient Deceleration_01
HW_ Lane-Centered Adaptive Follow_Insufficient Deceleration_02</t>
        </is>
      </c>
      <c r="K145" s="6" t="inlineStr">
        <is>
          <t>HFS-025, HFS-028</t>
        </is>
      </c>
      <c r="L145" s="6" t="inlineStr">
        <is>
          <t>Slope — steep grade (up to ±8 %)</t>
        </is>
      </c>
      <c r="M145" s="6" t="inlineStr"/>
    </row>
    <row r="146">
      <c r="A146" s="6" t="inlineStr">
        <is>
          <t>RD-13</t>
        </is>
      </c>
      <c r="B146" s="6" t="inlineStr">
        <is>
          <t>Forte descente avec charge lourde</t>
        </is>
      </c>
      <c r="C146" s="6" t="inlineStr">
        <is>
          <t>HW-ESL</t>
        </is>
      </c>
      <c r="D146" s="16" t="inlineStr">
        <is>
          <t>justifié</t>
        </is>
      </c>
      <c r="E146" s="6" t="inlineStr">
        <is>
          <t>catalogue SERYTI</t>
        </is>
      </c>
      <c r="F146" s="6" t="inlineStr">
        <is>
          <t>Le HIRE de HW-ESL relie une déviation de commande sollicitée par la scène (Acceleration command, Deceleration command) au hazard de l'abstract (H2, H5)</t>
        </is>
      </c>
      <c r="G146" s="6" t="inlineStr">
        <is>
          <t>H2 Front collision, H5 Loss of stability / control</t>
        </is>
      </c>
      <c r="H146" s="6" t="inlineStr">
        <is>
          <t>Acceleration command, Brake Lights command, Deceleration command, Hazard Lights command</t>
        </is>
      </c>
      <c r="I146" s="6" t="n">
        <v>8</v>
      </c>
      <c r="J146" s="6" t="inlineStr">
        <is>
          <t>HW_ Emergency Stop in Lane_Excessive Acceleration_01
HW_ Emergency Stop in Lane_Excessive Deceleration_02
HW_ Emergency Stop in Lane_Insufficient Deceleration_01
HW_ Emergency Stop in Lane_No Deceleration_01
HW_ Emergency Stop in Lane_No Deceleration_02
HW_ Emergency Stop in Lane_No Deceleration_03
HW_ Emergency Stop in Lane_Unintended Acceleration_01
HW_ Emergency Stop in Lane_Unintended Deceleration_02</t>
        </is>
      </c>
      <c r="K146" s="6" t="inlineStr">
        <is>
          <t>HFS-015, HFS-018</t>
        </is>
      </c>
      <c r="L146" s="6" t="inlineStr"/>
      <c r="M146" s="6" t="inlineStr">
        <is>
          <t>Slope — steep grade (up to ±8 %)</t>
        </is>
      </c>
    </row>
    <row r="147">
      <c r="A147" s="6" t="inlineStr">
        <is>
          <t>RD-13</t>
        </is>
      </c>
      <c r="B147" s="6" t="inlineStr">
        <is>
          <t>Forte descente avec charge lourde</t>
        </is>
      </c>
      <c r="C147" s="6" t="inlineStr">
        <is>
          <t>HW-CSS</t>
        </is>
      </c>
      <c r="D147" s="16" t="inlineStr">
        <is>
          <t>justifié</t>
        </is>
      </c>
      <c r="E147" s="6" t="inlineStr">
        <is>
          <t>ajouté depuis le HIRE v2 (condition ODD sans abstract)</t>
        </is>
      </c>
      <c r="F147" s="6" t="inlineStr">
        <is>
          <t>Le HIRE de HW-CSS relie une déviation de commande sollicitée par la scène (Acceleration command, Deceleration command, Steering command) au hazard de l'abstract (H2, H5)</t>
        </is>
      </c>
      <c r="G147" s="6" t="inlineStr">
        <is>
          <t>H2 Front collision, H5 Loss of stability / control</t>
        </is>
      </c>
      <c r="H147" s="6" t="inlineStr">
        <is>
          <t>Acceleration command, Brake Lights command, Deceleration command, Hazard Lights command, Steering command, Turn Signal command</t>
        </is>
      </c>
      <c r="I147" s="6" t="n">
        <v>14</v>
      </c>
      <c r="J147" s="6" t="inlineStr">
        <is>
          <t>HW_ Controlled Stop on Shoulder_Insufficient Deceleration_02
HW_ Controlled Stop on Shoulder_Excessive Acceleration_01
HW_ Controlled Stop on Shoulder_Excessive Deceleration_02
HW_ Controlled Stop on Shoulder_Insufficient Deceleration_01
HW_ Controlled Stop on Shoulder_No Deceleration_01
HW_ Controlled Stop on Shoulder_No Deceleration_02
HW_ Controlled Stop on Shoulder_No Deceleration_03
HW_ Controlled Stop on Shoulder_Unintended Acceleration_01
HW_ Controlled Stop on Shoulder_Unintended Deceleration_02
HW_ Controlled Stop on Shoulder_No Deceleration_04</t>
        </is>
      </c>
      <c r="K147" s="6" t="inlineStr">
        <is>
          <t>HFS-004, HFS-007</t>
        </is>
      </c>
      <c r="L147" s="6" t="inlineStr">
        <is>
          <t>Slope — steep grade (up to ±8 %)</t>
        </is>
      </c>
      <c r="M147" s="6" t="inlineStr"/>
    </row>
    <row r="148">
      <c r="A148" s="6" t="inlineStr">
        <is>
          <t>RD-14</t>
        </is>
      </c>
      <c r="B148" s="6" t="inlineStr">
        <is>
          <t>Courbe avec véhicule dans la voie voisine</t>
        </is>
      </c>
      <c r="C148" s="6" t="inlineStr">
        <is>
          <t>HW-CRU</t>
        </is>
      </c>
      <c r="D148" s="16" t="inlineStr">
        <is>
          <t>justifié</t>
        </is>
      </c>
      <c r="E148" s="6" t="inlineStr">
        <is>
          <t>catalogue SERYTI</t>
        </is>
      </c>
      <c r="F148" s="6" t="inlineStr">
        <is>
          <t>Le HIRE de HW-CRU relie une déviation de commande sollicitée par la scène (Deceleration command, Steering command) au hazard de l'abstract (H1, H5)</t>
        </is>
      </c>
      <c r="G148" s="6" t="inlineStr">
        <is>
          <t>H1 Side collision, H5 Loss of stability / control</t>
        </is>
      </c>
      <c r="H148" s="6" t="inlineStr">
        <is>
          <t>Deceleration command, Steering command</t>
        </is>
      </c>
      <c r="I148" s="6" t="n">
        <v>46</v>
      </c>
      <c r="J148" s="6" t="inlineStr">
        <is>
          <t>HW_ Lane-Centered Cruise_Insufficient Steering_08
HW_ Lane-Centered Cruise_Steering too late_04
HW_ Lane-Centered Cruise_Excessive Deceleration_03
HW_ Lane-Centered Cruise_Excessive Steering_01
HW_ Lane-Centered Cruise_Excessive Steering_02
HW_ Lane-Centered Cruise_Excessive Steering_03
HW_ Lane-Centered Cruise_Excessive Steering_04
HW_ Lane-Centered Cruise_Insufficient Deceleration_02
HW_ Lane-Centered Cruise_Insufficient Steering_01
HW_ Lane-Centered Cruise_Insufficient Steering_03</t>
        </is>
      </c>
      <c r="K148" s="6" t="inlineStr">
        <is>
          <t>HFS-029, HFS-033</t>
        </is>
      </c>
      <c r="L148" s="6" t="inlineStr">
        <is>
          <t>Curvature — sharp curve (up to 0.25 1/m)</t>
        </is>
      </c>
      <c r="M148" s="6" t="inlineStr"/>
    </row>
    <row r="149">
      <c r="A149" s="6" t="inlineStr">
        <is>
          <t>RD-14</t>
        </is>
      </c>
      <c r="B149" s="6" t="inlineStr">
        <is>
          <t>Courbe avec véhicule dans la voie voisine</t>
        </is>
      </c>
      <c r="C149" s="6" t="inlineStr">
        <is>
          <t>HW-FOL</t>
        </is>
      </c>
      <c r="D149" s="16" t="inlineStr">
        <is>
          <t>justifié</t>
        </is>
      </c>
      <c r="E149" s="6" t="inlineStr">
        <is>
          <t>catalogue SERYTI</t>
        </is>
      </c>
      <c r="F149" s="6" t="inlineStr">
        <is>
          <t>Le HIRE de HW-FOL relie une déviation de commande sollicitée par la scène (Deceleration command, Steering command) au hazard de l'abstract (H1, H5)</t>
        </is>
      </c>
      <c r="G149" s="6" t="inlineStr">
        <is>
          <t>H1 Side collision, H5 Loss of stability / control</t>
        </is>
      </c>
      <c r="H149" s="6" t="inlineStr">
        <is>
          <t>Deceleration command, Steering command</t>
        </is>
      </c>
      <c r="I149" s="6" t="n">
        <v>27</v>
      </c>
      <c r="J149" s="6" t="inlineStr">
        <is>
          <t>HW_ Lane-Centered Adaptive Follow_Excessive Deceleration_03
HW_ Lane-Centered Adaptive Follow_Excessive Steering_01
HW_ Lane-Centered Adaptive Follow_Excessive Steering_02
HW_ Lane-Centered Adaptive Follow_Excessive Steering_03
HW_ Lane-Centered Adaptive Follow_Excessive Steering_04
HW_ Lane-Centered Adaptive Follow_Insufficient Deceleration_02
HW_ Lane-Centered Adaptive Follow_Insufficient Steering_01
HW_ Lane-Centered Adaptive Follow_Insufficient Steering_03
HW_ Lane-Centered Adaptive Follow_Insufficient Steering_04
HW_ Lane-Centered Adaptive Follow_No Deceleration_02</t>
        </is>
      </c>
      <c r="K149" s="6" t="inlineStr">
        <is>
          <t>HFS-024, HFS-028</t>
        </is>
      </c>
      <c r="L149" s="6" t="inlineStr"/>
      <c r="M149" s="6" t="inlineStr">
        <is>
          <t>Curvature — sharp curve (up to 0.25 1/m)</t>
        </is>
      </c>
    </row>
    <row r="150">
      <c r="A150" s="6" t="inlineStr">
        <is>
          <t>RD-14</t>
        </is>
      </c>
      <c r="B150" s="6" t="inlineStr">
        <is>
          <t>Courbe avec véhicule dans la voie voisine</t>
        </is>
      </c>
      <c r="C150" s="6" t="inlineStr">
        <is>
          <t>HW-LC</t>
        </is>
      </c>
      <c r="D150" s="16" t="inlineStr">
        <is>
          <t>justifié</t>
        </is>
      </c>
      <c r="E150" s="6" t="inlineStr">
        <is>
          <t>catalogue SERYTI</t>
        </is>
      </c>
      <c r="F150" s="6" t="inlineStr">
        <is>
          <t>Le HIRE de HW-LC relie une déviation de commande sollicitée par la scène (Acceleration command, Deceleration command, Steering command, Turn Signal command) au hazard de l'abstract (H1, H5)</t>
        </is>
      </c>
      <c r="G150" s="6" t="inlineStr">
        <is>
          <t>H1 Side collision, H5 Loss of stability / control</t>
        </is>
      </c>
      <c r="H150" s="6" t="inlineStr">
        <is>
          <t>Acceleration command, Deceleration command, Steering command, Turn Signal command</t>
        </is>
      </c>
      <c r="I150" s="6" t="n">
        <v>37</v>
      </c>
      <c r="J150" s="6" t="inlineStr">
        <is>
          <t>HW_ Lane Changes / Overtaking_Excessive Acceleration_03
HW_ Lane Changes / Overtaking_Excessive Deceleration_03
HW_ Lane Changes / Overtaking_Excessive Steering_01
HW_ Lane Changes / Overtaking_Excessive Steering_02
HW_ Lane Changes / Overtaking_Excessive Steering_03
HW_ Lane Changes / Overtaking_Excessive Steering_04
HW_ Lane Changes / Overtaking_Insufficient Acceleration_02
HW_ Lane Changes / Overtaking_Insufficient Deceleration_02
HW_ Lane Changes / Overtaking_Insufficient Steering_01
HW_ Lane Changes / Overtaking_Insufficient Steering_03</t>
        </is>
      </c>
      <c r="K150" s="6" t="inlineStr">
        <is>
          <t>HFS-019, HFS-023</t>
        </is>
      </c>
      <c r="L150" s="6" t="inlineStr"/>
      <c r="M150" s="6" t="inlineStr">
        <is>
          <t>Curvature — sharp curve (up to 0.25 1/m)</t>
        </is>
      </c>
    </row>
    <row r="151">
      <c r="A151" s="6" t="inlineStr">
        <is>
          <t>EMV-03</t>
        </is>
      </c>
      <c r="B151" s="6" t="inlineStr">
        <is>
          <t>Véhicule d'urgence dans la congestion</t>
        </is>
      </c>
      <c r="C151" s="6" t="inlineStr">
        <is>
          <t>HW-FOL</t>
        </is>
      </c>
      <c r="D151" s="16" t="inlineStr">
        <is>
          <t>justifié</t>
        </is>
      </c>
      <c r="E151" s="6" t="inlineStr">
        <is>
          <t>catalogue SERYTI</t>
        </is>
      </c>
      <c r="F151" s="6" t="inlineStr">
        <is>
          <t>Le HIRE de HW-FOL relie une déviation de commande sollicitée par la scène (Acceleration command, Deceleration command) au hazard de l'abstract (H3)</t>
        </is>
      </c>
      <c r="G151" s="6" t="inlineStr">
        <is>
          <t>H3 Rear-end by follower</t>
        </is>
      </c>
      <c r="H151" s="6" t="inlineStr">
        <is>
          <t>Acceleration command, Deceleration command</t>
        </is>
      </c>
      <c r="I151" s="6" t="n">
        <v>11</v>
      </c>
      <c r="J151" s="6" t="inlineStr">
        <is>
          <t>HW_ Lane-Centered Adaptive Follow_Excessive Deceleration_01
HW_ Lane-Centered Adaptive Follow_Excessive Deceleration_02
HW_ Lane-Centered Adaptive Follow_Excessive Deceleration_04
HW_ Lane-Centered Adaptive Follow_Insufficient Acceleration_01
HW_ Lane-Centered Adaptive Follow_Insufficient Acceleration_03
HW_ Lane-Centered Adaptive Follow_No Acceleration_01
HW_ Lane-Centered Adaptive Follow_No Acceleration_03
HW_ Lane-Centered Adaptive Follow_Unintended Deceleration_01
HW_ Lane-Centered Adaptive Follow_Unintended Deceleration_02
HW_ Lane-Centered Adaptive Follow_Unintended Deceleration_04</t>
        </is>
      </c>
      <c r="K151" s="6" t="inlineStr">
        <is>
          <t>HFS-026</t>
        </is>
      </c>
      <c r="L151" s="6" t="inlineStr"/>
      <c r="M151" s="6" t="inlineStr">
        <is>
          <t>[Out-of-ODD] EMV present (shoulder / in-lane)</t>
        </is>
      </c>
    </row>
    <row r="152">
      <c r="A152" s="6" t="inlineStr">
        <is>
          <t>EMV-03</t>
        </is>
      </c>
      <c r="B152" s="6" t="inlineStr">
        <is>
          <t>Véhicule d'urgence dans la congestion</t>
        </is>
      </c>
      <c r="C152" s="6" t="inlineStr">
        <is>
          <t>HW-CSS</t>
        </is>
      </c>
      <c r="D152" s="16" t="inlineStr">
        <is>
          <t>justifié</t>
        </is>
      </c>
      <c r="E152" s="6" t="inlineStr">
        <is>
          <t>catalogue SERYTI</t>
        </is>
      </c>
      <c r="F152" s="6" t="inlineStr">
        <is>
          <t>Le HIRE de HW-CSS relie une déviation de commande sollicitée par la scène (Acceleration command, Deceleration command, Hazard Lights command, Steering command) au hazard de l'abstract (H3)</t>
        </is>
      </c>
      <c r="G152" s="6" t="inlineStr">
        <is>
          <t>H3 Rear-end by follower</t>
        </is>
      </c>
      <c r="H152" s="6" t="inlineStr">
        <is>
          <t>Acceleration command, Brake Lights command, Deceleration command, Hazard Lights command, Steering command, Turn Signal command</t>
        </is>
      </c>
      <c r="I152" s="6" t="n">
        <v>11</v>
      </c>
      <c r="J152" s="6" t="inlineStr">
        <is>
          <t>HW_ Controlled Stop on Shoulder_Excessive Deceleration_01
HW_ Controlled Stop on Shoulder_Excessive Deceleration_03
HW_ Controlled Stop on Shoulder_Hazard Lights too late_01
HW_ Controlled Stop on Shoulder_Hazard Lights too late_02
HW_ Controlled Stop on Shoulder_Hazard Lights too late_03
HW_ Controlled Stop on Shoulder_No Acceleration_01
HW_ Controlled Stop on Shoulder_Unintended Deceleration_01
HW_ Controlled Stop on Shoulder_Unintended Deceleration_03
HW_ Controlled Stop on Shoulder_No Steering_03
HW_ Controlled Stop on Shoulder_No Steering_04</t>
        </is>
      </c>
      <c r="K152" s="6" t="inlineStr">
        <is>
          <t>HFS-005</t>
        </is>
      </c>
      <c r="L152" s="6" t="inlineStr"/>
      <c r="M152" s="6" t="inlineStr">
        <is>
          <t>[Out-of-ODD] EMV present (shoulder / in-lane)</t>
        </is>
      </c>
    </row>
    <row r="153">
      <c r="A153" s="6" t="inlineStr">
        <is>
          <t>EMV-04</t>
        </is>
      </c>
      <c r="B153" s="6" t="inlineStr">
        <is>
          <t>Policier qui suit le SDT plus de 20 s</t>
        </is>
      </c>
      <c r="C153" s="6" t="inlineStr">
        <is>
          <t>HW-CSS</t>
        </is>
      </c>
      <c r="D153" s="17" t="inlineStr">
        <is>
          <t>justifié indirectement</t>
        </is>
      </c>
      <c r="E153" s="6" t="inlineStr">
        <is>
          <t>catalogue SERYTI</t>
        </is>
      </c>
      <c r="F153" s="6" t="inlineStr">
        <is>
          <t>Le hazard déclaré n'est pas relié dans le HIRE aux commandes sollicitées ; la scène expose aussi H1, H3, H4, relié(s) à Acceleration command, Deceleration command, Hazard Lights command, Steering command, Turn Signal command</t>
        </is>
      </c>
      <c r="G153" s="6" t="inlineStr">
        <is>
          <t>H1 Side collision, H3 Rear-end by follower, H4 Intent not communicated</t>
        </is>
      </c>
      <c r="H153" s="6" t="inlineStr">
        <is>
          <t>Acceleration command, Brake Lights command, Deceleration command, Hazard Lights command, Steering command, Turn Signal command</t>
        </is>
      </c>
      <c r="I153" s="6" t="n">
        <v>32</v>
      </c>
      <c r="J153" s="6" t="inlineStr">
        <is>
          <t>HW_ Controlled Stop On Shoulder_No Turn Signal_01
HW_ Controlled Stop On Shoulder_Unintended Turn Signal_01
HW_ Controlled Stop on Shoulder_Excessive Deceleration_01
HW_ Controlled Stop on Shoulder_Excessive Deceleration_03
HW_ Controlled Stop on Shoulder_Excessive Steering_01
HW_ Controlled Stop on Shoulder_Excessive Steering_02
HW_ Controlled Stop on Shoulder_Hazard Lights too late_01
HW_ Controlled Stop on Shoulder_Hazard Lights too late_02
HW_ Controlled Stop on Shoulder_Hazard Lights too late_03
HW_ Controlled Stop on Shoulder_Insufficient Steering_01</t>
        </is>
      </c>
      <c r="K153" s="6" t="inlineStr">
        <is>
          <t>HFS-001, HFS-002, HFS-003, HFS-005, HFS-006</t>
        </is>
      </c>
      <c r="L153" s="6" t="inlineStr"/>
      <c r="M153" s="6" t="inlineStr">
        <is>
          <t>[Out-of-ODD] EMV present (shoulder / in-lane)</t>
        </is>
      </c>
    </row>
    <row r="154">
      <c r="A154" s="6" t="inlineStr">
        <is>
          <t>EMV-05</t>
        </is>
      </c>
      <c r="B154" s="6" t="inlineStr">
        <is>
          <t>Véhicule d'urgence arrêté dans la voie</t>
        </is>
      </c>
      <c r="C154" s="6" t="inlineStr">
        <is>
          <t>HW-LC</t>
        </is>
      </c>
      <c r="D154" s="16" t="inlineStr">
        <is>
          <t>justifié</t>
        </is>
      </c>
      <c r="E154" s="6" t="inlineStr">
        <is>
          <t>catalogue SERYTI</t>
        </is>
      </c>
      <c r="F154" s="6" t="inlineStr">
        <is>
          <t>Le HIRE de HW-LC relie une déviation de commande sollicitée par la scène (Acceleration command, Deceleration command, Steering command) au hazard de l'abstract (H2)</t>
        </is>
      </c>
      <c r="G154" s="6" t="inlineStr">
        <is>
          <t>H2 Front collision</t>
        </is>
      </c>
      <c r="H154" s="6" t="inlineStr">
        <is>
          <t>Acceleration command, Brake Lights command, Deceleration command, Steering command, Turn Signal command</t>
        </is>
      </c>
      <c r="I154" s="6" t="n">
        <v>11</v>
      </c>
      <c r="J154" s="6" t="inlineStr">
        <is>
          <t>HW_ Lane Changes / Overtaking_Excessive Acceleration_01
HW_ Lane Changes / Overtaking_Excessive Acceleration_02
HW_ Lane Changes / Overtaking_Excessive Acceleration_04
HW_ Lane Changes / Overtaking_Insufficient Deceleration_01
HW_ Lane Changes / Overtaking_Insufficient Deceleration_03
HW_ Lane Changes / Overtaking_No Deceleration_01
HW_ Lane Changes / Overtaking_No Deceleration_04
HW_ Lane Changes / Overtaking_No Steering_02
HW_ Lane Changes / Overtaking_Unintended Acceleration_01
HW_ Lane Changes / Overtaking_Unintended Acceleration_02</t>
        </is>
      </c>
      <c r="K154" s="6" t="inlineStr">
        <is>
          <t>HFS-020</t>
        </is>
      </c>
      <c r="L154" s="6" t="inlineStr"/>
      <c r="M154" s="6" t="inlineStr">
        <is>
          <t>[Out-of-ODD] Disabled / stopped vehicle in lane or shoulder, [Out-of-ODD] EMV present (shoulder / in-lane)</t>
        </is>
      </c>
    </row>
    <row r="155">
      <c r="A155" s="6" t="inlineStr">
        <is>
          <t>EMV-05</t>
        </is>
      </c>
      <c r="B155" s="6" t="inlineStr">
        <is>
          <t>Véhicule d'urgence arrêté dans la voie</t>
        </is>
      </c>
      <c r="C155" s="6" t="inlineStr">
        <is>
          <t>HW-ESL</t>
        </is>
      </c>
      <c r="D155" s="16" t="inlineStr">
        <is>
          <t>justifié</t>
        </is>
      </c>
      <c r="E155" s="6" t="inlineStr">
        <is>
          <t>catalogue SERYTI</t>
        </is>
      </c>
      <c r="F155" s="6" t="inlineStr">
        <is>
          <t>Le HIRE de HW-ESL relie une déviation de commande sollicitée par la scène (Acceleration command, Deceleration command) au hazard de l'abstract (H2)</t>
        </is>
      </c>
      <c r="G155" s="6" t="inlineStr">
        <is>
          <t>H2 Front collision</t>
        </is>
      </c>
      <c r="H155" s="6" t="inlineStr">
        <is>
          <t>Acceleration command, Brake Lights command, Deceleration command, Hazard Lights command, Steering command</t>
        </is>
      </c>
      <c r="I155" s="6" t="n">
        <v>4</v>
      </c>
      <c r="J155" s="6" t="inlineStr">
        <is>
          <t>HW_ Emergency Stop in Lane_Excessive Acceleration_01
HW_ Emergency Stop in Lane_No Deceleration_01
HW_ Emergency Stop in Lane_No Deceleration_03
HW_ Emergency Stop in Lane_Unintended Acceleration_01</t>
        </is>
      </c>
      <c r="K155" s="6" t="inlineStr">
        <is>
          <t>HFS-015</t>
        </is>
      </c>
      <c r="L155" s="6" t="inlineStr"/>
      <c r="M155" s="6" t="inlineStr">
        <is>
          <t>[Out-of-ODD] Disabled / stopped vehicle in lane or shoulder, [Out-of-ODD] EMV present (shoulder / in-lane)</t>
        </is>
      </c>
    </row>
    <row r="156">
      <c r="A156" s="6" t="inlineStr">
        <is>
          <t>EMV-05</t>
        </is>
      </c>
      <c r="B156" s="6" t="inlineStr">
        <is>
          <t>Véhicule d'urgence arrêté dans la voie</t>
        </is>
      </c>
      <c r="C156" s="6" t="inlineStr">
        <is>
          <t>HW-FOL</t>
        </is>
      </c>
      <c r="D156" s="16" t="inlineStr">
        <is>
          <t>justifié</t>
        </is>
      </c>
      <c r="E156" s="6" t="inlineStr">
        <is>
          <t>catalogue SERYTI</t>
        </is>
      </c>
      <c r="F156" s="6" t="inlineStr">
        <is>
          <t>Le HIRE de HW-FOL relie une déviation de commande sollicitée par la scène (Acceleration command, Deceleration command, Steering command) au hazard de l'abstract (H2)</t>
        </is>
      </c>
      <c r="G156" s="6" t="inlineStr">
        <is>
          <t>H2 Front collision</t>
        </is>
      </c>
      <c r="H156" s="6" t="inlineStr">
        <is>
          <t>Acceleration command, Brake Lights command, Deceleration command, Steering command</t>
        </is>
      </c>
      <c r="I156" s="6" t="n">
        <v>25</v>
      </c>
      <c r="J156" s="6" t="inlineStr">
        <is>
          <t>HW_ Lane-Centered Adaptive Follow_Excessive Acceleration_01
HW_ Lane-Centered Adaptive Follow_Excessive Acceleration_02
HW_ Lane-Centered Adaptive Follow_Excessive Acceleration_04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Follow_Unintended Acceleration_01
HW_ Lane-Centered Adaptive Follow_Unintended Acceleration_02</t>
        </is>
      </c>
      <c r="K156" s="6" t="inlineStr">
        <is>
          <t>HFS-025</t>
        </is>
      </c>
      <c r="L156" s="6" t="inlineStr"/>
      <c r="M156" s="6" t="inlineStr">
        <is>
          <t>[Out-of-ODD] Disabled / stopped vehicle in lane or shoulder, [Out-of-ODD] EMV present (shoulder / in-lane)</t>
        </is>
      </c>
    </row>
    <row r="157">
      <c r="A157" s="6" t="inlineStr">
        <is>
          <t>EMV-06</t>
        </is>
      </c>
      <c r="B157" s="6" t="inlineStr">
        <is>
          <t>Poursuite policière qui dépasse le SDT</t>
        </is>
      </c>
      <c r="C157" s="6" t="inlineStr">
        <is>
          <t>HW-CRU</t>
        </is>
      </c>
      <c r="D157" s="16" t="inlineStr">
        <is>
          <t>justifié</t>
        </is>
      </c>
      <c r="E157" s="6" t="inlineStr">
        <is>
          <t>catalogue SERYTI</t>
        </is>
      </c>
      <c r="F157" s="6" t="inlineStr">
        <is>
          <t>Le HIRE de HW-CRU relie une déviation de commande sollicitée par la scène (Steering command) au hazard de l'abstract (H1, H6)</t>
        </is>
      </c>
      <c r="G157" s="6" t="inlineStr">
        <is>
          <t>H1 Side collision, H6 Access / operational</t>
        </is>
      </c>
      <c r="H157" s="6" t="inlineStr">
        <is>
          <t>Steering command</t>
        </is>
      </c>
      <c r="I157" s="6" t="n">
        <v>32</v>
      </c>
      <c r="J157" s="6" t="inlineStr">
        <is>
          <t>HW_ Lane-Centered Cruise_No Steering_12
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t>
        </is>
      </c>
      <c r="K157" s="6" t="inlineStr">
        <is>
          <t>HFS-029, HFS-034</t>
        </is>
      </c>
      <c r="L157" s="6" t="inlineStr">
        <is>
          <t>[Out-of-ODD] EMV present (shoulder / in-lane)</t>
        </is>
      </c>
      <c r="M157" s="6" t="inlineStr"/>
    </row>
    <row r="158">
      <c r="A158" s="6" t="inlineStr">
        <is>
          <t>EMV-06</t>
        </is>
      </c>
      <c r="B158" s="6" t="inlineStr">
        <is>
          <t>Poursuite policière qui dépasse le SDT</t>
        </is>
      </c>
      <c r="C158" s="6" t="inlineStr">
        <is>
          <t>HW-FOL</t>
        </is>
      </c>
      <c r="D158" s="16" t="inlineStr">
        <is>
          <t>justifié</t>
        </is>
      </c>
      <c r="E158" s="6" t="inlineStr">
        <is>
          <t>catalogue SERYTI</t>
        </is>
      </c>
      <c r="F158" s="6" t="inlineStr">
        <is>
          <t>Le HIRE de HW-FOL relie une déviation de commande sollicitée par la scène (Steering command) au hazard de l'abstract (H1)</t>
        </is>
      </c>
      <c r="G158" s="6" t="inlineStr">
        <is>
          <t>H1 Side collision</t>
        </is>
      </c>
      <c r="H158" s="6" t="inlineStr">
        <is>
          <t>Steering command</t>
        </is>
      </c>
      <c r="I158" s="6" t="n">
        <v>15</v>
      </c>
      <c r="J158"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Steering_01
HW_ Lane-Centered Adaptive Follow_No Steering_04
HW_ Lane-Centered Adaptive Follow_Steering for too long / stuck_01
HW_ Lane-Centered Adaptive Follow_Steering for too long / stuck_03
HW_ Lane-Centered Adaptive Follow_Steering in opposite direction_01</t>
        </is>
      </c>
      <c r="K158" s="6" t="inlineStr">
        <is>
          <t>HFS-024</t>
        </is>
      </c>
      <c r="L158" s="6" t="inlineStr"/>
      <c r="M158" s="6" t="inlineStr">
        <is>
          <t>[Out-of-ODD] EMV present (shoulder / in-lane)</t>
        </is>
      </c>
    </row>
    <row r="159">
      <c r="A159" s="6" t="inlineStr">
        <is>
          <t>LC-OOD-01</t>
        </is>
      </c>
      <c r="B159" s="6" t="inlineStr">
        <is>
          <t>move over for stopped emv on shoulder</t>
        </is>
      </c>
      <c r="C159" s="6" t="inlineStr">
        <is>
          <t>HW-LC</t>
        </is>
      </c>
      <c r="D159" s="16" t="inlineStr">
        <is>
          <t>justifié</t>
        </is>
      </c>
      <c r="E159" s="6" t="inlineStr">
        <is>
          <t>catalogue SERYTI</t>
        </is>
      </c>
      <c r="F159" s="6" t="inlineStr">
        <is>
          <t>Le HIRE de HW-LC relie une déviation de commande sollicitée par la scène (Acceleration command, Deceleration command, Steering command, Turn Signal command) au hazard de l'abstract (H1, H2, H3)</t>
        </is>
      </c>
      <c r="G159" s="6" t="inlineStr">
        <is>
          <t>H1 Side collision, H2 Front collision, H3 Rear-end by follower</t>
        </is>
      </c>
      <c r="H159" s="6" t="inlineStr">
        <is>
          <t>Acceleration command, Brake Lights command, Deceleration command, Steering command, Turn Signal command</t>
        </is>
      </c>
      <c r="I159" s="6" t="n">
        <v>46</v>
      </c>
      <c r="J159"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159" s="6" t="inlineStr">
        <is>
          <t>HFS-019, HFS-020, HFS-021</t>
        </is>
      </c>
      <c r="L159" s="6" t="inlineStr"/>
      <c r="M159" s="6" t="inlineStr">
        <is>
          <t>[Out-of-ODD] Disabled / stopped vehicle in lane or shoulder, [Out-of-ODD] EMV present (shoulder / in-lane)</t>
        </is>
      </c>
    </row>
    <row r="160">
      <c r="A160" s="6" t="inlineStr">
        <is>
          <t>LC-OOD-01</t>
        </is>
      </c>
      <c r="B160" s="6" t="inlineStr">
        <is>
          <t>move over for stopped emv on shoulder</t>
        </is>
      </c>
      <c r="C160" s="6" t="inlineStr">
        <is>
          <t>HW-CRU</t>
        </is>
      </c>
      <c r="D160" s="16" t="inlineStr">
        <is>
          <t>justifié</t>
        </is>
      </c>
      <c r="E160" s="6" t="inlineStr">
        <is>
          <t>catalogue SERYTI</t>
        </is>
      </c>
      <c r="F160" s="6" t="inlineStr">
        <is>
          <t>Le HIRE de HW-CRU relie une déviation de commande sollicitée par la scène (Acceleration command, Deceleration command, Steering command) au hazard de l'abstract (H1, H2, H3)</t>
        </is>
      </c>
      <c r="G160" s="6" t="inlineStr">
        <is>
          <t>H1 Side collision, H2 Front collision, H3 Rear-end by follower</t>
        </is>
      </c>
      <c r="H160" s="6" t="inlineStr">
        <is>
          <t>Acceleration command, Brake Lights command, Deceleration command, Steering command, Turn Signal command</t>
        </is>
      </c>
      <c r="I160" s="6" t="n">
        <v>70</v>
      </c>
      <c r="J160" s="6" t="inlineStr">
        <is>
          <t>HW_ Lane-Centered Cruise_Deceleration too late_03
HW_ Lane-Centered Cruise_No Deceleration_06
HW_ Lane-Centered Cruise_No Steering_11
HW_ Lane-Centered Cruise_Excessive Acceleration_01
HW_ Lane-Centered Cruise_Excessive Acceleration_02
HW_ Lane-Centered Cruise_Excessive Acceleration_04
HW_ Lane-Centered Cruise_Excessive Deceleration_01
HW_ Lane-Centered Cruise_Excessive Deceleration_02
HW_ Lane-Centered Cruise_Excessive Deceleration_04
HW_ Lane-Centered Cruise_Excessive Steering_01</t>
        </is>
      </c>
      <c r="K160" s="6" t="inlineStr">
        <is>
          <t>HFS-029, HFS-030, HFS-031</t>
        </is>
      </c>
      <c r="L160" s="6" t="inlineStr">
        <is>
          <t>[Out-of-ODD] Disabled / stopped vehicle in lane or shoulder, [Out-of-ODD] EMV present (shoulder / in-lane)</t>
        </is>
      </c>
      <c r="M160" s="6" t="inlineStr"/>
    </row>
    <row r="161">
      <c r="A161" s="6" t="inlineStr">
        <is>
          <t>LC-OOD-01</t>
        </is>
      </c>
      <c r="B161" s="6" t="inlineStr">
        <is>
          <t>move over for stopped emv on shoulder</t>
        </is>
      </c>
      <c r="C161" s="6" t="inlineStr">
        <is>
          <t>HW-FOL</t>
        </is>
      </c>
      <c r="D161" s="16" t="inlineStr">
        <is>
          <t>justifié</t>
        </is>
      </c>
      <c r="E161" s="6" t="inlineStr">
        <is>
          <t>catalogue SERYTI</t>
        </is>
      </c>
      <c r="F161" s="6" t="inlineStr">
        <is>
          <t>Le HIRE de HW-FOL relie une déviation de commande sollicitée par la scène (Acceleration command, Brake Lights command, Deceleration command, Steering command) au hazard de l'abstract (H1, H2, H3)</t>
        </is>
      </c>
      <c r="G161" s="6" t="inlineStr">
        <is>
          <t>H1 Side collision, H2 Front collision, H3 Rear-end by follower</t>
        </is>
      </c>
      <c r="H161" s="6" t="inlineStr">
        <is>
          <t>Acceleration command, Brake Lights command, Deceleration command, Steering command, Turn Signal command</t>
        </is>
      </c>
      <c r="I161" s="6" t="n">
        <v>56</v>
      </c>
      <c r="J161" s="6" t="inlineStr">
        <is>
          <t>HW_ Lane-Centered Adaptive Follow_Brake Lights too late_01
HW_ Lane-Centered Adaptive Follow_Excessive Acceleration_01
HW_ Lane-Centered Adaptive Follow_Excessive Acceleration_02
HW_ Lane-Centered Adaptive Follow_Excessive Acceleration_04
HW_ Lane-Centered Adaptive Follow_Excessive Deceleration_01
HW_ Lane-Centered Adaptive Follow_Excessive Deceleration_02
HW_ Lane-Centered Adaptive Follow_Excessive Deceleration_04
HW_ Lane-Centered Adaptive Follow_Excessive Steering_01
HW_ Lane-Centered Adaptive Follow_Excessive Steering_02
HW_ Lane-Centered Adaptive Follow_Excessive Steering_04</t>
        </is>
      </c>
      <c r="K161" s="6" t="inlineStr">
        <is>
          <t>HFS-024, HFS-025, HFS-026</t>
        </is>
      </c>
      <c r="L161" s="6" t="inlineStr"/>
      <c r="M161" s="6" t="inlineStr">
        <is>
          <t>[Out-of-ODD] Disabled / stopped vehicle in lane or shoulder, [Out-of-ODD] EMV present (shoulder / in-lane)</t>
        </is>
      </c>
    </row>
    <row r="162">
      <c r="A162" s="6" t="inlineStr">
        <is>
          <t>LC-OOD-02</t>
        </is>
      </c>
      <c r="B162" s="6" t="inlineStr">
        <is>
          <t>yield lane to approaching emv</t>
        </is>
      </c>
      <c r="C162" s="6" t="inlineStr">
        <is>
          <t>HW-LC</t>
        </is>
      </c>
      <c r="D162" s="16" t="inlineStr">
        <is>
          <t>justifié</t>
        </is>
      </c>
      <c r="E162" s="6" t="inlineStr">
        <is>
          <t>catalogue SERYTI</t>
        </is>
      </c>
      <c r="F162" s="6" t="inlineStr">
        <is>
          <t>Le HIRE de HW-LC relie une déviation de commande sollicitée par la scène (Acceleration command, Deceleration command, Steering command, Turn Signal command) au hazard de l'abstract (H1, H2, H3)</t>
        </is>
      </c>
      <c r="G162" s="6" t="inlineStr">
        <is>
          <t>H1 Side collision, H2 Front collision, H3 Rear-end by follower</t>
        </is>
      </c>
      <c r="H162" s="6" t="inlineStr">
        <is>
          <t>Acceleration command, Deceleration command, Steering command, Turn Signal command</t>
        </is>
      </c>
      <c r="I162" s="6" t="n">
        <v>46</v>
      </c>
      <c r="J162"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162" s="6" t="inlineStr">
        <is>
          <t>HFS-019, HFS-020, HFS-021</t>
        </is>
      </c>
      <c r="L162" s="6" t="inlineStr"/>
      <c r="M162" s="6" t="inlineStr">
        <is>
          <t>[Out-of-ODD] EMV present (shoulder / in-lane)</t>
        </is>
      </c>
    </row>
    <row r="163">
      <c r="A163" s="6" t="inlineStr">
        <is>
          <t>LC-OOD-02</t>
        </is>
      </c>
      <c r="B163" s="6" t="inlineStr">
        <is>
          <t>yield lane to approaching emv</t>
        </is>
      </c>
      <c r="C163" s="6" t="inlineStr">
        <is>
          <t>HW-CRU</t>
        </is>
      </c>
      <c r="D163" s="16" t="inlineStr">
        <is>
          <t>justifié</t>
        </is>
      </c>
      <c r="E163" s="6" t="inlineStr">
        <is>
          <t>catalogue SERYTI</t>
        </is>
      </c>
      <c r="F163" s="6" t="inlineStr">
        <is>
          <t>Le HIRE de HW-CRU relie une déviation de commande sollicitée par la scène (Acceleration command, Deceleration command, Steering command) au hazard de l'abstract (H1, H2, H3)</t>
        </is>
      </c>
      <c r="G163" s="6" t="inlineStr">
        <is>
          <t>H1 Side collision, H2 Front collision, H3 Rear-end by follower</t>
        </is>
      </c>
      <c r="H163" s="6" t="inlineStr">
        <is>
          <t>Acceleration command, Deceleration command, Steering command, Turn Signal command</t>
        </is>
      </c>
      <c r="I163" s="6" t="n">
        <v>70</v>
      </c>
      <c r="J163" s="6" t="inlineStr">
        <is>
          <t>HW_ Lane-Centered Cruise_No Deceleration_06
HW_ Lane-Centered Cruise_Excessive Acceleration_01
HW_ Lane-Centered Cruise_Excessive Acceleration_02
HW_ Lane-Centered Cruise_Excessive Acceleration_04
HW_ Lane-Centered Cruise_Excessive Deceleration_01
HW_ Lane-Centered Cruise_Excessive Deceleration_02
HW_ Lane-Centered Cruise_Excessive Deceleration_04
HW_ Lane-Centered Cruise_Excessive Steering_01
HW_ Lane-Centered Cruise_Excessive Steering_02
HW_ Lane-Centered Cruise_Excessive Steering_04</t>
        </is>
      </c>
      <c r="K163" s="6" t="inlineStr">
        <is>
          <t>HFS-029, HFS-030, HFS-031</t>
        </is>
      </c>
      <c r="L163" s="6" t="inlineStr">
        <is>
          <t>[Out-of-ODD] EMV present (shoulder / in-lane)</t>
        </is>
      </c>
      <c r="M163" s="6" t="inlineStr"/>
    </row>
    <row r="164">
      <c r="A164" s="6" t="inlineStr">
        <is>
          <t>LC-OOD-02</t>
        </is>
      </c>
      <c r="B164" s="6" t="inlineStr">
        <is>
          <t>yield lane to approaching emv</t>
        </is>
      </c>
      <c r="C164" s="6" t="inlineStr">
        <is>
          <t>HW-FOL</t>
        </is>
      </c>
      <c r="D164" s="16" t="inlineStr">
        <is>
          <t>justifié</t>
        </is>
      </c>
      <c r="E164" s="6" t="inlineStr">
        <is>
          <t>catalogue SERYTI</t>
        </is>
      </c>
      <c r="F164" s="6" t="inlineStr">
        <is>
          <t>Le HIRE de HW-FOL relie une déviation de commande sollicitée par la scène (Acceleration command, Deceleration command, Steering command) au hazard de l'abstract (H1, H2, H3)</t>
        </is>
      </c>
      <c r="G164" s="6" t="inlineStr">
        <is>
          <t>H1 Side collision, H2 Front collision, H3 Rear-end by follower</t>
        </is>
      </c>
      <c r="H164" s="6" t="inlineStr">
        <is>
          <t>Acceleration command, Deceleration command, Steering command, Turn Signal command</t>
        </is>
      </c>
      <c r="I164" s="6" t="n">
        <v>54</v>
      </c>
      <c r="J164" s="6" t="inlineStr">
        <is>
          <t>HW_ Lane-Centered Adaptive Follow_Excessive Acceleration_01
HW_ Lane-Centered Adaptive Follow_Excessive Acceleration_02
HW_ Lane-Centered Adaptive Follow_Excessive Acceleration_04
HW_ Lane-Centered Adaptive Follow_Excessive Deceleration_01
HW_ Lane-Centered Adaptive Follow_Excessive Deceleration_02
HW_ Lane-Centered Adaptive Follow_Excessive Deceleration_04
HW_ Lane-Centered Adaptive Follow_Excessive Steering_01
HW_ Lane-Centered Adaptive Follow_Excessive Steering_02
HW_ Lane-Centered Adaptive Follow_Excessive Steering_04
HW_ Lane-Centered Adaptive Follow_Insufficient Acceleration_01</t>
        </is>
      </c>
      <c r="K164" s="6" t="inlineStr">
        <is>
          <t>HFS-024, HFS-025, HFS-026</t>
        </is>
      </c>
      <c r="L164" s="6" t="inlineStr"/>
      <c r="M164" s="6" t="inlineStr">
        <is>
          <t>[Out-of-ODD] EMV present (shoulder / in-lane)</t>
        </is>
      </c>
    </row>
    <row r="165">
      <c r="A165" s="6" t="inlineStr">
        <is>
          <t>LC-OOD-02</t>
        </is>
      </c>
      <c r="B165" s="6" t="inlineStr">
        <is>
          <t>yield lane to approaching emv</t>
        </is>
      </c>
      <c r="C165" s="6" t="inlineStr">
        <is>
          <t>HW-CSS</t>
        </is>
      </c>
      <c r="D165" s="16" t="inlineStr">
        <is>
          <t>justifié</t>
        </is>
      </c>
      <c r="E165" s="6" t="inlineStr">
        <is>
          <t>catalogue SERYTI</t>
        </is>
      </c>
      <c r="F165" s="6" t="inlineStr">
        <is>
          <t>Le HIRE de HW-CSS relie une déviation de commande sollicitée par la scène (Acceleration command, Deceleration command, Hazard Lights command, Steering command, Turn Signal command) au hazard de l'abstract (H1, H2, H3)</t>
        </is>
      </c>
      <c r="G165" s="6" t="inlineStr">
        <is>
          <t>H1 Side collision, H2 Front collision, H3 Rear-end by follower</t>
        </is>
      </c>
      <c r="H165" s="6" t="inlineStr">
        <is>
          <t>Acceleration command, Brake Lights command, Deceleration command, Hazard Lights command, Steering command, Turn Signal command</t>
        </is>
      </c>
      <c r="I165" s="6" t="n">
        <v>34</v>
      </c>
      <c r="J165" s="6" t="inlineStr">
        <is>
          <t>HW_ Controlled Stop On Shoulder_No Turn Signal_01
HW_ Controlled Stop on Shoulder_Excessive Acceleration_01
HW_ Controlled Stop on Shoulder_Excessive Deceleration_01
HW_ Controlled Stop on Shoulder_Excessive Deceleration_03
HW_ Controlled Stop on Shoulder_Excessive Steering_01
HW_ Controlled Stop on Shoulder_Excessive Steering_02
HW_ Controlled Stop on Shoulder_Hazard Lights too late_01
HW_ Controlled Stop on Shoulder_Hazard Lights too late_02
HW_ Controlled Stop on Shoulder_Hazard Lights too late_03
HW_ Controlled Stop on Shoulder_Insufficient Steering_01</t>
        </is>
      </c>
      <c r="K165" s="6" t="inlineStr">
        <is>
          <t>HFS-001, HFS-003, HFS-004, HFS-005</t>
        </is>
      </c>
      <c r="L165" s="6" t="inlineStr"/>
      <c r="M165" s="6" t="inlineStr">
        <is>
          <t>[Out-of-ODD] EMV present (shoulder / in-lane)</t>
        </is>
      </c>
    </row>
    <row r="166">
      <c r="A166" s="6" t="inlineStr">
        <is>
          <t>LC-OOD-03</t>
        </is>
      </c>
      <c r="B166" s="6" t="inlineStr">
        <is>
          <t>lane change with object in target lane</t>
        </is>
      </c>
      <c r="C166" s="6" t="inlineStr">
        <is>
          <t>HW-LC</t>
        </is>
      </c>
      <c r="D166" s="16" t="inlineStr">
        <is>
          <t>justifié</t>
        </is>
      </c>
      <c r="E166" s="6" t="inlineStr">
        <is>
          <t>catalogue SERYTI</t>
        </is>
      </c>
      <c r="F166" s="6" t="inlineStr">
        <is>
          <t>Le HIRE de HW-LC relie une déviation de commande sollicitée par la scène (Acceleration command, Deceleration command, Steering command, Turn Signal command) au hazard de l'abstract (H1, H2, H3, H4)</t>
        </is>
      </c>
      <c r="G166" s="6" t="inlineStr">
        <is>
          <t>H1 Side collision, H2 Front collision, H3 Rear-end by follower, H4 Intent not communicated</t>
        </is>
      </c>
      <c r="H166" s="6" t="inlineStr">
        <is>
          <t>Acceleration command, Brake Lights command, Deceleration command, Steering command, Turn Signal command</t>
        </is>
      </c>
      <c r="I166" s="6" t="n">
        <v>48</v>
      </c>
      <c r="J166"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166" s="6" t="inlineStr">
        <is>
          <t>HFS-019, HFS-020, HFS-021, HFS-022</t>
        </is>
      </c>
      <c r="L166" s="6" t="inlineStr"/>
      <c r="M166" s="6" t="inlineStr">
        <is>
          <t>Foreign Object Debris (FOD) in lane, [Out-of-ODD] Tire debris / blown tire / lost cargo, [Out-of-ODD] Sudden object intrusion</t>
        </is>
      </c>
    </row>
    <row r="167">
      <c r="A167" s="6" t="inlineStr">
        <is>
          <t>LC-OOD-04</t>
        </is>
      </c>
      <c r="B167" s="6" t="inlineStr">
        <is>
          <t>lane change at crash scene</t>
        </is>
      </c>
      <c r="C167" s="6" t="inlineStr">
        <is>
          <t>HW-LC</t>
        </is>
      </c>
      <c r="D167" s="16" t="inlineStr">
        <is>
          <t>justifié</t>
        </is>
      </c>
      <c r="E167" s="6" t="inlineStr">
        <is>
          <t>catalogue SERYTI</t>
        </is>
      </c>
      <c r="F167" s="6" t="inlineStr">
        <is>
          <t>Le HIRE de HW-LC relie une déviation de commande sollicitée par la scène (Acceleration command, Deceleration command, Steering command, Turn Signal command) au hazard de l'abstract (H1, H2, H3, H4)</t>
        </is>
      </c>
      <c r="G167" s="6" t="inlineStr">
        <is>
          <t>H1 Side collision, H2 Front collision, H3 Rear-end by follower, H4 Intent not communicated</t>
        </is>
      </c>
      <c r="H167" s="6" t="inlineStr">
        <is>
          <t>Acceleration command, Brake Lights command, Deceleration command, Steering command, Turn Signal command</t>
        </is>
      </c>
      <c r="I167" s="6" t="n">
        <v>48</v>
      </c>
      <c r="J167"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167" s="6" t="inlineStr">
        <is>
          <t>HFS-019, HFS-020, HFS-021, HFS-022</t>
        </is>
      </c>
      <c r="L167" s="6" t="inlineStr"/>
      <c r="M167" s="6" t="inlineStr">
        <is>
          <t>[Out-of-ODD] Disabled / stopped vehicle in lane or shoulder, [Out-of-ODD] Crash scene / accident debris ahead, [Out-of-ODD] EMV present (shoulder / in-lane)</t>
        </is>
      </c>
    </row>
    <row r="168">
      <c r="A168" s="6" t="inlineStr">
        <is>
          <t>LC-OOD-04</t>
        </is>
      </c>
      <c r="B168" s="6" t="inlineStr">
        <is>
          <t>lane change at crash scene</t>
        </is>
      </c>
      <c r="C168" s="6" t="inlineStr">
        <is>
          <t>HW-ESL</t>
        </is>
      </c>
      <c r="D168" s="16" t="inlineStr">
        <is>
          <t>justifié</t>
        </is>
      </c>
      <c r="E168" s="6" t="inlineStr">
        <is>
          <t>catalogue SERYTI</t>
        </is>
      </c>
      <c r="F168" s="6" t="inlineStr">
        <is>
          <t>Le HIRE de HW-ESL relie une déviation de commande sollicitée par la scène (Deceleration command, Hazard Lights command, Steering command) au hazard de l'abstract (H1, H2, H3, H4)</t>
        </is>
      </c>
      <c r="G168" s="6" t="inlineStr">
        <is>
          <t>H1 Side collision, H2 Front collision, H3 Rear-end by follower, H4 Intent not communicated</t>
        </is>
      </c>
      <c r="H168" s="6" t="inlineStr">
        <is>
          <t>Brake Lights command, Deceleration command, Hazard Lights command, Steering command</t>
        </is>
      </c>
      <c r="I168" s="6" t="n">
        <v>29</v>
      </c>
      <c r="J168" s="6" t="inlineStr">
        <is>
          <t>HW_ Emergency Stop in Lane_Excessive Deceleration_01
HW_ Emergency Stop in Lane_Excessive Deceleration_03
HW_ Emergency Stop in Lane_Excessive Steering_01
HW_ Emergency Stop in Lane_Excessive Steering_02
HW_ Emergency Stop in Lane_Hazard Lights too late_01
HW_ Emergency Stop in Lane_Hazard Lights too late_02
HW_ Emergency Stop in Lane_Hazard Lights too late_03
HW_ Emergency Stop in Lane_Insufficient Steering_01
HW_ Emergency Stop in Lane_Insufficient Steering_02
HW_ Emergency Stop in Lane_No Deceleration_01</t>
        </is>
      </c>
      <c r="K168" s="6" t="inlineStr">
        <is>
          <t>HFS-013, HFS-014, HFS-015, HFS-016, HFS-017, HFS-045</t>
        </is>
      </c>
      <c r="L168" s="6" t="inlineStr"/>
      <c r="M168" s="6" t="inlineStr">
        <is>
          <t>[Out-of-ODD] Disabled / stopped vehicle in lane or shoulder, [Out-of-ODD] Crash scene / accident debris ahead, [Out-of-ODD] EMV present (shoulder / in-lane)</t>
        </is>
      </c>
    </row>
    <row r="169">
      <c r="A169" s="6" t="inlineStr">
        <is>
          <t>LC-OOD-04</t>
        </is>
      </c>
      <c r="B169" s="6" t="inlineStr">
        <is>
          <t>lane change at crash scene</t>
        </is>
      </c>
      <c r="C169" s="6" t="inlineStr">
        <is>
          <t>HW-FOL</t>
        </is>
      </c>
      <c r="D169" s="16" t="inlineStr">
        <is>
          <t>justifié</t>
        </is>
      </c>
      <c r="E169" s="6" t="inlineStr">
        <is>
          <t>catalogue SERYTI</t>
        </is>
      </c>
      <c r="F169" s="6" t="inlineStr">
        <is>
          <t>Le HIRE de HW-FOL relie une déviation de commande sollicitée par la scène (Brake Lights command, Deceleration command, Steering command) au hazard de l'abstract (H1, H2, H3, H4)</t>
        </is>
      </c>
      <c r="G169" s="6" t="inlineStr">
        <is>
          <t>H1 Side collision, H2 Front collision, H3 Rear-end by follower, H4 Intent not communicated</t>
        </is>
      </c>
      <c r="H169" s="6" t="inlineStr">
        <is>
          <t>Brake Lights command, Deceleration command, Steering command</t>
        </is>
      </c>
      <c r="I169" s="6" t="n">
        <v>48</v>
      </c>
      <c r="J169" s="6" t="inlineStr">
        <is>
          <t>HW_ Lane-Centered Adaptive Follow_Brake Lights for too long / stuck_01
HW_ Lane-Centered Adaptive Follow_Brake Lights too late_01
HW_ Lane-Centered Adaptive Follow_Excessive Deceleration_01
HW_ Lane-Centered Adaptive Follow_Excessive Deceleration_02
HW_ Lane-Centered Adaptive Follow_Excessive Deceleration_04
HW_ Lane-Centered Adaptive Follow_Excessive Steering_01
HW_ Lane-Centered Adaptive Follow_Excessive Steering_02
HW_ Lane-Centered Adaptive Follow_Excessive Steering_04
HW_ Lane-Centered Adaptive Follow_Insufficient Deceleration_01
HW_ Lane-Centered Adaptive Follow_Insufficient Deceleration_03</t>
        </is>
      </c>
      <c r="K169" s="6" t="inlineStr">
        <is>
          <t>HFS-024, HFS-025, HFS-026, HFS-027</t>
        </is>
      </c>
      <c r="L169" s="6" t="inlineStr"/>
      <c r="M169" s="6" t="inlineStr">
        <is>
          <t>[Out-of-ODD] Disabled / stopped vehicle in lane or shoulder, [Out-of-ODD] Crash scene / accident debris ahead, [Out-of-ODD] EMV present (shoulder / in-lane)</t>
        </is>
      </c>
    </row>
    <row r="170">
      <c r="A170" s="6" t="inlineStr">
        <is>
          <t>LC-OOD-04</t>
        </is>
      </c>
      <c r="B170" s="6" t="inlineStr">
        <is>
          <t>lane change at crash scene</t>
        </is>
      </c>
      <c r="C170" s="6" t="inlineStr">
        <is>
          <t>HW-CSS</t>
        </is>
      </c>
      <c r="D170" s="16" t="inlineStr">
        <is>
          <t>justifié</t>
        </is>
      </c>
      <c r="E170" s="6" t="inlineStr">
        <is>
          <t>catalogue SERYTI</t>
        </is>
      </c>
      <c r="F170" s="6" t="inlineStr">
        <is>
          <t>Le HIRE de HW-CSS relie une déviation de commande sollicitée par la scène (Deceleration command, Hazard Lights command, Steering command, Turn Signal command) au hazard de l'abstract (H1, H2, H3, H4)</t>
        </is>
      </c>
      <c r="G170" s="6" t="inlineStr">
        <is>
          <t>H1 Side collision, H2 Front collision, H3 Rear-end by follower, H4 Intent not communicated</t>
        </is>
      </c>
      <c r="H170" s="6" t="inlineStr">
        <is>
          <t>Brake Lights command, Deceleration command, Hazard Lights command, Steering command, Turn Signal command</t>
        </is>
      </c>
      <c r="I170" s="6" t="n">
        <v>38</v>
      </c>
      <c r="J170" s="6" t="inlineStr">
        <is>
          <t>HW_ Controlled Stop on Shoulder_No Steering_04
HW_ Controlled Stop on Shoulder_No Steering_05
HW_ Controlled Stop on Shoulder_No Steering_06
HW_ Controlled Stop on Shoulder_Unintended Steering_04
HW_ Controlled Stop on Shoulder_Unintended Steering_05
HW_ Controlled Stop on Shoulder_Unintended Steering_06
HW_ Controlled Stop On Shoulder_No Turn Signal_01
HW_ Controlled Stop On Shoulder_Unintended Turn Signal_01
HW_ Controlled Stop on Shoulder_Excessive Deceleration_01
HW_ Controlled Stop on Shoulder_Excessive Deceleration_03</t>
        </is>
      </c>
      <c r="K170" s="6" t="inlineStr">
        <is>
          <t>HFS-001, HFS-002, HFS-003, HFS-004, HFS-005, HFS-006</t>
        </is>
      </c>
      <c r="L170" s="6" t="inlineStr">
        <is>
          <t>[Out-of-ODD] Disabled / stopped vehicle in lane or shoulder, [Out-of-ODD] Crash scene / accident debris ahead</t>
        </is>
      </c>
      <c r="M170" s="6" t="inlineStr">
        <is>
          <t>[Out-of-ODD] EMV present (shoulder / in-lane)</t>
        </is>
      </c>
    </row>
    <row r="171">
      <c r="A171" s="6" t="inlineStr">
        <is>
          <t>LC-OOD-04</t>
        </is>
      </c>
      <c r="B171" s="6" t="inlineStr">
        <is>
          <t>lane change at crash scene</t>
        </is>
      </c>
      <c r="C171" s="6" t="inlineStr">
        <is>
          <t>HW-CRU</t>
        </is>
      </c>
      <c r="D171" s="16" t="inlineStr">
        <is>
          <t>justifié</t>
        </is>
      </c>
      <c r="E171" s="6" t="inlineStr">
        <is>
          <t>ajouté depuis le HIRE v2 (condition ODD sans abstract)</t>
        </is>
      </c>
      <c r="F171" s="6" t="inlineStr">
        <is>
          <t>Le HIRE de HW-CRU relie une déviation de commande sollicitée par la scène (Deceleration command, Steering command) au hazard de l'abstract (H1, H2, H3, H4)</t>
        </is>
      </c>
      <c r="G171" s="6" t="inlineStr">
        <is>
          <t>H1 Side collision, H2 Front collision, H3 Rear-end by follower, H4 Intent not communicated</t>
        </is>
      </c>
      <c r="H171" s="6" t="inlineStr">
        <is>
          <t>Brake Lights command, Deceleration command, Steering command</t>
        </is>
      </c>
      <c r="I171" s="6" t="n">
        <v>58</v>
      </c>
      <c r="J171" s="6" t="inlineStr">
        <is>
          <t>HW_ Lane-Centered Cruise_Deceleration too late_03
HW_ Lane-Centered Cruise_Excessive Deceleration_05
HW_ Lane-Centered Cruise_No Deceleration_06
HW_ Lane-Centered Cruise_No Deceleration_07
HW_ Lane-Centered Cruise_No Steering_11
HW_ Lane-Centered Cruise_Excessive Deceleration_01
HW_ Lane-Centered Cruise_Excessive Deceleration_02
HW_ Lane-Centered Cruise_Excessive Deceleration_04
HW_ Lane-Centered Cruise_Excessive Steering_01
HW_ Lane-Centered Cruise_Excessive Steering_02</t>
        </is>
      </c>
      <c r="K171" s="6" t="inlineStr">
        <is>
          <t>HFS-029, HFS-030, HFS-031, HFS-032</t>
        </is>
      </c>
      <c r="L171" s="6" t="inlineStr">
        <is>
          <t>[Out-of-ODD] Disabled / stopped vehicle in lane or shoulder, [Out-of-ODD] Crash scene / accident debris ahead, [Out-of-ODD] EMV present (shoulder / in-lane)</t>
        </is>
      </c>
      <c r="M171" s="6" t="inlineStr"/>
    </row>
    <row r="172">
      <c r="A172" s="6" t="inlineStr">
        <is>
          <t>LC-REF-01</t>
        </is>
      </c>
      <c r="B172" s="6" t="inlineStr">
        <is>
          <t>lane change for stopped vehicle on shoulder</t>
        </is>
      </c>
      <c r="C172" s="6" t="inlineStr">
        <is>
          <t>HW-LC</t>
        </is>
      </c>
      <c r="D172" s="16" t="inlineStr">
        <is>
          <t>justifié</t>
        </is>
      </c>
      <c r="E172" s="6" t="inlineStr">
        <is>
          <t>catalogue SERYTI</t>
        </is>
      </c>
      <c r="F172" s="6" t="inlineStr">
        <is>
          <t>Le HIRE de HW-LC relie une déviation de commande sollicitée par la scène (Acceleration command, Deceleration command, Steering command, Turn Signal command) au hazard de l'abstract (H1, H2)</t>
        </is>
      </c>
      <c r="G172" s="6" t="inlineStr">
        <is>
          <t>H1 Side collision, H2 Front collision</t>
        </is>
      </c>
      <c r="H172" s="6" t="inlineStr">
        <is>
          <t>Acceleration command, Brake Lights command, Deceleration command, Steering command, Turn Signal command</t>
        </is>
      </c>
      <c r="I172" s="6" t="n">
        <v>35</v>
      </c>
      <c r="J172" s="6" t="inlineStr">
        <is>
          <t>HW_ Lane Changes / Overtaking_Excessive Acceleration_01
HW_ Lane Changes / Overtaking_Excessive Acceleration_02
HW_ Lane Changes / Overtaking_Excessive Acceleration_04
HW_ Lane Changes / Overtaking_Excessive Steering_01
HW_ Lane Changes / Overtaking_Excessive Steering_02
HW_ Lane Changes / Overtaking_Excessive Steering_04
HW_ Lane Changes / Overtaking_Insufficient Deceleration_01
HW_ Lane Changes / Overtaking_Insufficient Deceleration_03
HW_ Lane Changes / Overtaking_Insufficient Steering_01
HW_ Lane Changes / Overtaking_Insufficient Steering_04</t>
        </is>
      </c>
      <c r="K172" s="6" t="inlineStr">
        <is>
          <t>HFS-019, HFS-020</t>
        </is>
      </c>
      <c r="L172" s="6" t="inlineStr"/>
      <c r="M172" s="6" t="inlineStr">
        <is>
          <t>[Out-of-ODD] Disabled / stopped vehicle in lane or shoulder</t>
        </is>
      </c>
    </row>
    <row r="173">
      <c r="A173" s="6" t="inlineStr">
        <is>
          <t>LC-REF-01</t>
        </is>
      </c>
      <c r="B173" s="6" t="inlineStr">
        <is>
          <t>lane change for stopped vehicle on shoulder</t>
        </is>
      </c>
      <c r="C173" s="6" t="inlineStr">
        <is>
          <t>HW-CRU</t>
        </is>
      </c>
      <c r="D173" s="16" t="inlineStr">
        <is>
          <t>justifié</t>
        </is>
      </c>
      <c r="E173" s="6" t="inlineStr">
        <is>
          <t>catalogue SERYTI</t>
        </is>
      </c>
      <c r="F173" s="6" t="inlineStr">
        <is>
          <t>Le HIRE de HW-CRU relie une déviation de commande sollicitée par la scène (Acceleration command, Deceleration command, Steering command) au hazard de l'abstract (H1, H2)</t>
        </is>
      </c>
      <c r="G173" s="6" t="inlineStr">
        <is>
          <t>H1 Side collision, H2 Front collision</t>
        </is>
      </c>
      <c r="H173" s="6" t="inlineStr">
        <is>
          <t>Acceleration command, Brake Lights command, Deceleration command, Steering command, Turn Signal command</t>
        </is>
      </c>
      <c r="I173" s="6" t="n">
        <v>57</v>
      </c>
      <c r="J173" s="6" t="inlineStr">
        <is>
          <t>HW_ Lane-Centered Cruise_Deceleration too late_03
HW_ Lane-Centered Cruise_No Steering_11
HW_ Lane-Centered Cruise_Excessive Acceleration_01
HW_ Lane-Centered Cruise_Excessive Acceleration_02
HW_ Lane-Centered Cruise_Excessive Acceleration_04
HW_ Lane-Centered Cruise_Excessive Steering_01
HW_ Lane-Centered Cruise_Excessive Steering_02
HW_ Lane-Centered Cruise_Excessive Steering_04
HW_ Lane-Centered Cruise_Insufficient Deceleration_01
HW_ Lane-Centered Cruise_Insufficient Deceleration_03</t>
        </is>
      </c>
      <c r="K173" s="6" t="inlineStr">
        <is>
          <t>HFS-029, HFS-030</t>
        </is>
      </c>
      <c r="L173" s="6" t="inlineStr">
        <is>
          <t>[Out-of-ODD] Disabled / stopped vehicle in lane or shoulder</t>
        </is>
      </c>
      <c r="M173" s="6" t="inlineStr"/>
    </row>
    <row r="174">
      <c r="A174" s="6" t="inlineStr">
        <is>
          <t>LC-REF-01</t>
        </is>
      </c>
      <c r="B174" s="6" t="inlineStr">
        <is>
          <t>lane change for stopped vehicle on shoulder</t>
        </is>
      </c>
      <c r="C174" s="6" t="inlineStr">
        <is>
          <t>HW-FOL</t>
        </is>
      </c>
      <c r="D174" s="16" t="inlineStr">
        <is>
          <t>justifié</t>
        </is>
      </c>
      <c r="E174" s="6" t="inlineStr">
        <is>
          <t>catalogue SERYTI</t>
        </is>
      </c>
      <c r="F174" s="6" t="inlineStr">
        <is>
          <t>Le HIRE de HW-FOL relie une déviation de commande sollicitée par la scène (Acceleration command, Deceleration command, Steering command) au hazard de l'abstract (H1, H2)</t>
        </is>
      </c>
      <c r="G174" s="6" t="inlineStr">
        <is>
          <t>H1 Side collision, H2 Front collision</t>
        </is>
      </c>
      <c r="H174" s="6" t="inlineStr">
        <is>
          <t>Acceleration command, Brake Lights command, Deceleration command, Steering command, Turn Signal command</t>
        </is>
      </c>
      <c r="I174" s="6" t="n">
        <v>42</v>
      </c>
      <c r="J174" s="6" t="inlineStr">
        <is>
          <t>HW_ Lane-Centered Adaptive Follow_Excessive Acceleration_01
HW_ Lane-Centered Adaptive Follow_Excessive Acceleration_02
HW_ Lane-Centered Adaptive Follow_Excessive Acceleration_04
HW_ Lane-Centered Adaptive Follow_Excessive Steering_01
HW_ Lane-Centered Adaptive Follow_Excessive Steering_02
HW_ Lane-Centered Adaptive Follow_Excessive Steering_04
HW_ Lane-Centered Adaptive Follow_Insufficient Deceleration_01
HW_ Lane-Centered Adaptive Follow_Insufficient Deceleration_03
HW_ Lane-Centered Adaptive Follow_Insufficient Steering_01
HW_ Lane-Centered Adaptive Follow_Insufficient Steering_04</t>
        </is>
      </c>
      <c r="K174" s="6" t="inlineStr">
        <is>
          <t>HFS-024, HFS-025</t>
        </is>
      </c>
      <c r="L174" s="6" t="inlineStr"/>
      <c r="M174" s="6" t="inlineStr">
        <is>
          <t>[Out-of-ODD] Disabled / stopped vehicle in lane or shoulder</t>
        </is>
      </c>
    </row>
    <row r="175">
      <c r="A175" s="6" t="inlineStr">
        <is>
          <t>OBJ-01</t>
        </is>
      </c>
      <c r="B175" s="6" t="inlineStr">
        <is>
          <t>Petit débris franchissable dans la voie</t>
        </is>
      </c>
      <c r="C175" s="6" t="inlineStr">
        <is>
          <t>HW-CRU</t>
        </is>
      </c>
      <c r="D175" s="16" t="inlineStr">
        <is>
          <t>justifié</t>
        </is>
      </c>
      <c r="E175" s="6" t="inlineStr">
        <is>
          <t>catalogue SERYTI</t>
        </is>
      </c>
      <c r="F175" s="6" t="inlineStr">
        <is>
          <t>Le HIRE de HW-CRU relie une déviation de commande sollicitée par la scène (Deceleration command, Steering command) au hazard de l'abstract (H2, H5)</t>
        </is>
      </c>
      <c r="G175" s="6" t="inlineStr">
        <is>
          <t>H2 Front collision, H5 Loss of stability / control</t>
        </is>
      </c>
      <c r="H175" s="6" t="inlineStr">
        <is>
          <t>Brake Lights command, Deceleration command, Steering command</t>
        </is>
      </c>
      <c r="I175" s="6" t="n">
        <v>28</v>
      </c>
      <c r="J175" s="6" t="inlineStr">
        <is>
          <t>HW_ Lane-Centered Cruise_Excessive Steering_11
HW_ Lane-Centered Cruise_No Steering_08
HW_ Lane-Centered Cruise_No Steering_10
HW_ Lane-Centered Cruise_Excessive Deceleration_03
HW_ Lane-Centered Cruise_Excessive Steering_03
HW_ Lane-Centered Cruise_Insufficient Deceleration_01
HW_ Lane-Centered Cruise_Insufficient Deceleration_02
HW_ Lane-Centered Cruise_Insufficient Deceleration_03
HW_ Lane-Centered Cruise_Insufficient Steering_03
HW_ Lane-Centered Cruise_No Deceleration_01</t>
        </is>
      </c>
      <c r="K175" s="6" t="inlineStr">
        <is>
          <t>HFS-030, HFS-033</t>
        </is>
      </c>
      <c r="L175" s="6" t="inlineStr">
        <is>
          <t>Foreign Object Debris (FOD) in lane, [Out-of-ODD] Tire debris / blown tire / lost cargo</t>
        </is>
      </c>
      <c r="M175" s="6" t="inlineStr"/>
    </row>
    <row r="176">
      <c r="A176" s="6" t="inlineStr">
        <is>
          <t>OBJ-01</t>
        </is>
      </c>
      <c r="B176" s="6" t="inlineStr">
        <is>
          <t>Petit débris franchissable dans la voie</t>
        </is>
      </c>
      <c r="C176" s="6" t="inlineStr">
        <is>
          <t>HW-FOL</t>
        </is>
      </c>
      <c r="D176" s="16" t="inlineStr">
        <is>
          <t>justifié</t>
        </is>
      </c>
      <c r="E176" s="6" t="inlineStr">
        <is>
          <t>catalogue SERYTI</t>
        </is>
      </c>
      <c r="F176" s="6" t="inlineStr">
        <is>
          <t>Le HIRE de HW-FOL relie une déviation de commande sollicitée par la scène (Deceleration command, Steering command) au hazard de l'abstract (H2, H5)</t>
        </is>
      </c>
      <c r="G176" s="6" t="inlineStr">
        <is>
          <t>H2 Front collision, H5 Loss of stability / control</t>
        </is>
      </c>
      <c r="H176" s="6" t="inlineStr">
        <is>
          <t>Brake Lights command, Deceleration command, Steering command</t>
        </is>
      </c>
      <c r="I176" s="6" t="n">
        <v>30</v>
      </c>
      <c r="J176" s="6" t="inlineStr">
        <is>
          <t>HW_ Lane-Centered Adaptive Follow_Excessive Deceleration_03
HW_ Lane-Centered Adaptive Follow_Excessive Steering_03
HW_ Lane-Centered Adaptive Follow_Insufficient Deceleration_01
HW_ Lane-Centered Adaptive Follow_Insufficient Deceleration_02
HW_ Lane-Centered Adaptive Follow_Insufficient Deceleration_03
HW_ Lane-Centered Adaptive Follow_Insufficient Steering_03
HW_ Lane-Centered Adaptive Follow_No Deceleration_01
HW_ Lane-Centered Adaptive Follow_No Deceleration_03
HW_ Lane-Centered Adaptive Follow_No Deceleration_04
HW_ Lane-Centered Adaptive Follow_No Steering_02</t>
        </is>
      </c>
      <c r="K176" s="6" t="inlineStr">
        <is>
          <t>HFS-025, HFS-028</t>
        </is>
      </c>
      <c r="L176" s="6" t="inlineStr"/>
      <c r="M176" s="6" t="inlineStr">
        <is>
          <t>Foreign Object Debris (FOD) in lane, [Out-of-ODD] Tire debris / blown tire / lost cargo</t>
        </is>
      </c>
    </row>
    <row r="177">
      <c r="A177" s="6" t="inlineStr">
        <is>
          <t>OBJ-02</t>
        </is>
      </c>
      <c r="B177" s="6" t="inlineStr">
        <is>
          <t>Chargement perdu ou gros débris dans la voie</t>
        </is>
      </c>
      <c r="C177" s="6" t="inlineStr">
        <is>
          <t>HW-ESL</t>
        </is>
      </c>
      <c r="D177" s="16" t="inlineStr">
        <is>
          <t>justifié</t>
        </is>
      </c>
      <c r="E177" s="6" t="inlineStr">
        <is>
          <t>catalogue SERYTI</t>
        </is>
      </c>
      <c r="F177" s="6" t="inlineStr">
        <is>
          <t>Le HIRE de HW-ESL relie une déviation de commande sollicitée par la scène (Deceleration command) au hazard de l'abstract (H2)</t>
        </is>
      </c>
      <c r="G177" s="6" t="inlineStr">
        <is>
          <t>H2 Front collision</t>
        </is>
      </c>
      <c r="H177" s="6" t="inlineStr">
        <is>
          <t>Brake Lights command, Deceleration command, Hazard Lights command, Steering command</t>
        </is>
      </c>
      <c r="I177" s="6" t="n">
        <v>2</v>
      </c>
      <c r="J177" s="6" t="inlineStr">
        <is>
          <t>HW_ Emergency Stop in Lane_No Deceleration_01
HW_ Emergency Stop in Lane_No Deceleration_03</t>
        </is>
      </c>
      <c r="K177" s="6" t="inlineStr">
        <is>
          <t>HFS-015</t>
        </is>
      </c>
      <c r="L177" s="6" t="inlineStr"/>
      <c r="M177" s="6" t="inlineStr">
        <is>
          <t>[Out-of-ODD] Disabled / stopped vehicle in lane or shoulder, Foreign Object Debris (FOD) in lane, [Out-of-ODD] Tire debris / blown tire / lost cargo, [Out-of-ODD] Sudden object intrusion</t>
        </is>
      </c>
    </row>
    <row r="178">
      <c r="A178" s="6" t="inlineStr">
        <is>
          <t>OBJ-02</t>
        </is>
      </c>
      <c r="B178" s="6" t="inlineStr">
        <is>
          <t>Chargement perdu ou gros débris dans la voie</t>
        </is>
      </c>
      <c r="C178" s="6" t="inlineStr">
        <is>
          <t>HW-ELM</t>
        </is>
      </c>
      <c r="D178" s="16" t="inlineStr">
        <is>
          <t>justifié</t>
        </is>
      </c>
      <c r="E178" s="6" t="inlineStr">
        <is>
          <t>catalogue SERYTI</t>
        </is>
      </c>
      <c r="F178" s="6" t="inlineStr">
        <is>
          <t>Le HIRE de HW-ELM relie une déviation de commande sollicitée par la scène (Deceleration command) au hazard de l'abstract (H2)</t>
        </is>
      </c>
      <c r="G178" s="6" t="inlineStr">
        <is>
          <t>H2 Front collision</t>
        </is>
      </c>
      <c r="H178" s="6" t="inlineStr">
        <is>
          <t>Brake Lights command, Deceleration command, Hazard Lights command, Steering command, Turn Signal command</t>
        </is>
      </c>
      <c r="I178" s="6" t="n">
        <v>2</v>
      </c>
      <c r="J178" s="6" t="inlineStr">
        <is>
          <t>HW_ Emergency Lateral Motion_No Deceleration_01
HW_ Emergency Lateral Motion_No Deceleration_03</t>
        </is>
      </c>
      <c r="K178" s="6" t="inlineStr">
        <is>
          <t>HFS-009</t>
        </is>
      </c>
      <c r="L178" s="6" t="inlineStr"/>
      <c r="M178" s="6" t="inlineStr">
        <is>
          <t>[Out-of-ODD] Disabled / stopped vehicle in lane or shoulder, Foreign Object Debris (FOD) in lane, [Out-of-ODD] Tire debris / blown tire / lost cargo, [Out-of-ODD] Sudden object intrusion</t>
        </is>
      </c>
    </row>
    <row r="179">
      <c r="A179" s="6" t="inlineStr">
        <is>
          <t>OBJ-02</t>
        </is>
      </c>
      <c r="B179" s="6" t="inlineStr">
        <is>
          <t>Chargement perdu ou gros débris dans la voie</t>
        </is>
      </c>
      <c r="C179" s="6" t="inlineStr">
        <is>
          <t>HW-LC</t>
        </is>
      </c>
      <c r="D179" s="16" t="inlineStr">
        <is>
          <t>justifié</t>
        </is>
      </c>
      <c r="E179" s="6" t="inlineStr">
        <is>
          <t>catalogue SERYTI</t>
        </is>
      </c>
      <c r="F179" s="6" t="inlineStr">
        <is>
          <t>Le HIRE de HW-LC relie une déviation de commande sollicitée par la scène (Acceleration command, Deceleration command, Steering command) au hazard de l'abstract (H2)</t>
        </is>
      </c>
      <c r="G179" s="6" t="inlineStr">
        <is>
          <t>H2 Front collision</t>
        </is>
      </c>
      <c r="H179" s="6" t="inlineStr">
        <is>
          <t>Acceleration command, Brake Lights command, Deceleration command, Steering command, Turn Signal command</t>
        </is>
      </c>
      <c r="I179" s="6" t="n">
        <v>11</v>
      </c>
      <c r="J179" s="6" t="inlineStr">
        <is>
          <t>HW_ Lane Changes / Overtaking_Excessive Acceleration_01
HW_ Lane Changes / Overtaking_Excessive Acceleration_02
HW_ Lane Changes / Overtaking_Excessive Acceleration_04
HW_ Lane Changes / Overtaking_Insufficient Deceleration_01
HW_ Lane Changes / Overtaking_Insufficient Deceleration_03
HW_ Lane Changes / Overtaking_No Deceleration_01
HW_ Lane Changes / Overtaking_No Deceleration_04
HW_ Lane Changes / Overtaking_No Steering_02
HW_ Lane Changes / Overtaking_Unintended Acceleration_01
HW_ Lane Changes / Overtaking_Unintended Acceleration_02</t>
        </is>
      </c>
      <c r="K179" s="6" t="inlineStr">
        <is>
          <t>HFS-020</t>
        </is>
      </c>
      <c r="L179" s="6" t="inlineStr"/>
      <c r="M179" s="6" t="inlineStr">
        <is>
          <t>[Out-of-ODD] Disabled / stopped vehicle in lane or shoulder, Foreign Object Debris (FOD) in lane, [Out-of-ODD] Tire debris / blown tire / lost cargo, [Out-of-ODD] Sudden object intrusion</t>
        </is>
      </c>
    </row>
    <row r="180">
      <c r="A180" s="6" t="inlineStr">
        <is>
          <t>OBJ-02</t>
        </is>
      </c>
      <c r="B180" s="6" t="inlineStr">
        <is>
          <t>Chargement perdu ou gros débris dans la voie</t>
        </is>
      </c>
      <c r="C180" s="6" t="inlineStr">
        <is>
          <t>HW-FOL</t>
        </is>
      </c>
      <c r="D180" s="16" t="inlineStr">
        <is>
          <t>justifié</t>
        </is>
      </c>
      <c r="E180" s="6" t="inlineStr">
        <is>
          <t>catalogue SERYTI</t>
        </is>
      </c>
      <c r="F180" s="6" t="inlineStr">
        <is>
          <t>Le HIRE de HW-FOL relie une déviation de commande sollicitée par la scène (Deceleration command, Steering command) au hazard de l'abstract (H2)</t>
        </is>
      </c>
      <c r="G180" s="6" t="inlineStr">
        <is>
          <t>H2 Front collision</t>
        </is>
      </c>
      <c r="H180" s="6" t="inlineStr">
        <is>
          <t>Brake Lights command, Deceleration command, Steering command</t>
        </is>
      </c>
      <c r="I180" s="6" t="n">
        <v>19</v>
      </c>
      <c r="J180" s="6" t="inlineStr">
        <is>
          <t>HW_ Lane-Centered Adaptive Follow_Deceleration too late_07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180" s="6" t="inlineStr">
        <is>
          <t>HFS-025</t>
        </is>
      </c>
      <c r="L180" s="6" t="inlineStr">
        <is>
          <t>[Out-of-ODD] Sudden object intrusion</t>
        </is>
      </c>
      <c r="M180" s="6" t="inlineStr">
        <is>
          <t>[Out-of-ODD] Disabled / stopped vehicle in lane or shoulder, Foreign Object Debris (FOD) in lane, [Out-of-ODD] Tire debris / blown tire / lost cargo</t>
        </is>
      </c>
    </row>
    <row r="181">
      <c r="A181" s="6" t="inlineStr">
        <is>
          <t>OBJ-02</t>
        </is>
      </c>
      <c r="B181" s="6" t="inlineStr">
        <is>
          <t>Chargement perdu ou gros débris dans la voie</t>
        </is>
      </c>
      <c r="C181" s="6" t="inlineStr">
        <is>
          <t>HW-CSS</t>
        </is>
      </c>
      <c r="D181" s="16" t="inlineStr">
        <is>
          <t>justifié</t>
        </is>
      </c>
      <c r="E181" s="6" t="inlineStr">
        <is>
          <t>ajouté depuis le HIRE v2 (condition ODD sans abstract)</t>
        </is>
      </c>
      <c r="F181" s="6" t="inlineStr">
        <is>
          <t>Le HIRE de HW-CSS relie une déviation de commande sollicitée par la scène (Deceleration command, Steering command) au hazard de l'abstract (H2)</t>
        </is>
      </c>
      <c r="G181" s="6" t="inlineStr">
        <is>
          <t>H2 Front collision</t>
        </is>
      </c>
      <c r="H181" s="6" t="inlineStr">
        <is>
          <t>Brake Lights command, Deceleration command, Hazard Lights command, Steering command, Turn Signal command</t>
        </is>
      </c>
      <c r="I181" s="6" t="n">
        <v>7</v>
      </c>
      <c r="J181" s="6" t="inlineStr">
        <is>
          <t>HW_ Controlled Stop on Shoulder_Unintended Steering_04
HW_ Controlled Stop on Shoulder_Unintended Steering_05
HW_ Controlled Stop on Shoulder_No Deceleration_01
HW_ Controlled Stop on Shoulder_No Deceleration_03
HW_ Controlled Stop on Shoulder_Insufficient Deceleration_02
HW_ Controlled Stop on Shoulder_No Steering_06
HW_ Controlled Stop on Shoulder_Unintended Steering_06</t>
        </is>
      </c>
      <c r="K181" s="6" t="inlineStr">
        <is>
          <t>HFS-004</t>
        </is>
      </c>
      <c r="L181" s="6" t="inlineStr">
        <is>
          <t>[Out-of-ODD] Disabled / stopped vehicle in lane or shoulder, [Out-of-ODD] Tire debris / blown tire / lost cargo</t>
        </is>
      </c>
      <c r="M181" s="6" t="inlineStr">
        <is>
          <t>Foreign Object Debris (FOD) in lane, [Out-of-ODD] Sudden object intrusion</t>
        </is>
      </c>
    </row>
    <row r="182">
      <c r="A182" s="6" t="inlineStr">
        <is>
          <t>OBJ-03</t>
        </is>
      </c>
      <c r="B182" s="6" t="inlineStr">
        <is>
          <t>Véhicule en panne qui déborde de l'accotement</t>
        </is>
      </c>
      <c r="C182" s="6" t="inlineStr">
        <is>
          <t>HW-CRU</t>
        </is>
      </c>
      <c r="D182" s="16" t="inlineStr">
        <is>
          <t>justifié</t>
        </is>
      </c>
      <c r="E182" s="6" t="inlineStr">
        <is>
          <t>catalogue SERYTI</t>
        </is>
      </c>
      <c r="F182" s="6" t="inlineStr">
        <is>
          <t>Le HIRE de HW-CRU relie une déviation de commande sollicitée par la scène (Deceleration command, Steering command) au hazard de l'abstract (H1)</t>
        </is>
      </c>
      <c r="G182" s="6" t="inlineStr">
        <is>
          <t>H1 Side collision</t>
        </is>
      </c>
      <c r="H182" s="6" t="inlineStr">
        <is>
          <t>Brake Lights command, Deceleration command, Steering command</t>
        </is>
      </c>
      <c r="I182" s="6" t="n">
        <v>33</v>
      </c>
      <c r="J182" s="6" t="inlineStr">
        <is>
          <t>HW_ Lane-Centered Cruise_No Steering_11
HW_ Lane-Centered Cruise_Excessive Steering_01
HW_ Lane-Centered Cruise_Excessive Steering_02
HW_ Lane-Centered Cruise_Excessive Steering_04
HW_ Lane-Centered Cruise_Insufficient Steering_01
HW_ Lane-Centered Cruise_Insufficient Steering_04
HW_ Lane-Centered Cruise_No Deceleration_02
HW_ Lane-Centered Cruise_No Steering_01
HW_ Lane-Centered Cruise_No Steering_04
HW_ Lane-Centered Cruise_Steering for too long / stuck_01</t>
        </is>
      </c>
      <c r="K182" s="6" t="inlineStr">
        <is>
          <t>HFS-029</t>
        </is>
      </c>
      <c r="L182" s="6" t="inlineStr">
        <is>
          <t>[Out-of-ODD] Disabled / stopped vehicle in lane or shoulder</t>
        </is>
      </c>
      <c r="M182" s="6" t="inlineStr"/>
    </row>
    <row r="183">
      <c r="A183" s="6" t="inlineStr">
        <is>
          <t>OBJ-03</t>
        </is>
      </c>
      <c r="B183" s="6" t="inlineStr">
        <is>
          <t>Véhicule en panne qui déborde de l'accotement</t>
        </is>
      </c>
      <c r="C183" s="6" t="inlineStr">
        <is>
          <t>HW-FOL</t>
        </is>
      </c>
      <c r="D183" s="16" t="inlineStr">
        <is>
          <t>justifié</t>
        </is>
      </c>
      <c r="E183" s="6" t="inlineStr">
        <is>
          <t>catalogue SERYTI</t>
        </is>
      </c>
      <c r="F183" s="6" t="inlineStr">
        <is>
          <t>Le HIRE de HW-FOL relie une déviation de commande sollicitée par la scène (Deceleration command, Steering command) au hazard de l'abstract (H1)</t>
        </is>
      </c>
      <c r="G183" s="6" t="inlineStr">
        <is>
          <t>H1 Side collision</t>
        </is>
      </c>
      <c r="H183" s="6" t="inlineStr">
        <is>
          <t>Brake Lights command, Deceleration command, Steering command</t>
        </is>
      </c>
      <c r="I183" s="6" t="n">
        <v>16</v>
      </c>
      <c r="J183" s="6" t="inlineStr">
        <is>
          <t>HW_ Lane-Centered Adaptive Follow_Excessive Steering_01
HW_ Lane-Centered Adaptive Follow_Excessive Steering_02
HW_ Lane-Centered Adaptive Follow_Excessive Steering_04
HW_ Lane-Centered Adaptive Follow_Insufficient Steering_01
HW_ Lane-Centered Adaptive Follow_Insufficient Steering_04
HW_ Lane-Centered Adaptive Follow_No Deceleration_02
HW_ Lane-Centered Adaptive Follow_No Steering_01
HW_ Lane-Centered Adaptive Follow_No Steering_04
HW_ Lane-Centered Adaptive Follow_Steering for too long / stuck_01
HW_ Lane-Centered Adaptive Follow_Steering for too long / stuck_03</t>
        </is>
      </c>
      <c r="K183" s="6" t="inlineStr">
        <is>
          <t>HFS-024</t>
        </is>
      </c>
      <c r="L183" s="6" t="inlineStr"/>
      <c r="M183" s="6" t="inlineStr">
        <is>
          <t>[Out-of-ODD] Disabled / stopped vehicle in lane or shoulder</t>
        </is>
      </c>
    </row>
    <row r="184">
      <c r="A184" s="6" t="inlineStr">
        <is>
          <t>OBJ-03</t>
        </is>
      </c>
      <c r="B184" s="6" t="inlineStr">
        <is>
          <t>Véhicule en panne qui déborde de l'accotement</t>
        </is>
      </c>
      <c r="C184" s="6" t="inlineStr">
        <is>
          <t>HW-LC</t>
        </is>
      </c>
      <c r="D184" s="16" t="inlineStr">
        <is>
          <t>justifié</t>
        </is>
      </c>
      <c r="E184" s="6" t="inlineStr">
        <is>
          <t>catalogue SERYTI</t>
        </is>
      </c>
      <c r="F184" s="6" t="inlineStr">
        <is>
          <t>Le HIRE de HW-LC relie une déviation de commande sollicitée par la scène (Acceleration command, Deceleration command, Steering command, Turn Signal command) au hazard de l'abstract (H1)</t>
        </is>
      </c>
      <c r="G184" s="6" t="inlineStr">
        <is>
          <t>H1 Side collision</t>
        </is>
      </c>
      <c r="H184" s="6" t="inlineStr">
        <is>
          <t>Acceleration command, Brake Lights command, Deceleration command, Steering command, Turn Signal command</t>
        </is>
      </c>
      <c r="I184" s="6" t="n">
        <v>24</v>
      </c>
      <c r="J184" s="6" t="inlineStr">
        <is>
          <t>HW_ Lane Changes / Overtaking_Excessive Steering_01
HW_ Lane Changes / Overtaking_Excessive Steering_02
HW_ Lane Changes / Overtaking_Excessive Steering_04
HW_ Lane Changes / Overtaking_Insufficient Steering_01
HW_ Lane Changes / Overtaking_Insufficient Steering_04
HW_ Lane Changes / Overtaking_No Acceleration_02
HW_ Lane Changes / Overtaking_No Deceleration_02
HW_ Lane Changes / Overtaking_No Steering_01
HW_ Lane Changes / Overtaking_No Steering_04
HW_ Lane Changes / Overtaking_No Turn Signal_01</t>
        </is>
      </c>
      <c r="K184" s="6" t="inlineStr">
        <is>
          <t>HFS-019</t>
        </is>
      </c>
      <c r="L184" s="6" t="inlineStr"/>
      <c r="M184" s="6" t="inlineStr">
        <is>
          <t>[Out-of-ODD] Disabled / stopped vehicle in lane or shoulder</t>
        </is>
      </c>
    </row>
    <row r="185">
      <c r="A185" s="6" t="inlineStr">
        <is>
          <t>OBJ-04</t>
        </is>
      </c>
      <c r="B185" s="6" t="inlineStr">
        <is>
          <t>Animal sur la chaussée</t>
        </is>
      </c>
      <c r="C185" s="6" t="inlineStr">
        <is>
          <t>HW-ESL</t>
        </is>
      </c>
      <c r="D185" s="16" t="inlineStr">
        <is>
          <t>justifié</t>
        </is>
      </c>
      <c r="E185" s="6" t="inlineStr">
        <is>
          <t>catalogue SERYTI</t>
        </is>
      </c>
      <c r="F185" s="6" t="inlineStr">
        <is>
          <t>Le HIRE de HW-ESL relie une déviation de commande sollicitée par la scène (Deceleration command) au hazard de l'abstract (H2, H5)</t>
        </is>
      </c>
      <c r="G185" s="6" t="inlineStr">
        <is>
          <t>H2 Front collision, H5 Loss of stability / control</t>
        </is>
      </c>
      <c r="H185" s="6" t="inlineStr">
        <is>
          <t>Brake Lights command, Deceleration command, Hazard Lights command, Steering command</t>
        </is>
      </c>
      <c r="I185" s="6" t="n">
        <v>6</v>
      </c>
      <c r="J185" s="6" t="inlineStr">
        <is>
          <t>HW_ Emergency Stop in Lane_Excessive Deceleration_02
HW_ Emergency Stop in Lane_Insufficient Deceleration_01
HW_ Emergency Stop in Lane_No Deceleration_01
HW_ Emergency Stop in Lane_No Deceleration_02
HW_ Emergency Stop in Lane_No Deceleration_03
HW_ Emergency Stop in Lane_Unintended Deceleration_02</t>
        </is>
      </c>
      <c r="K185" s="6" t="inlineStr">
        <is>
          <t>HFS-015, HFS-018</t>
        </is>
      </c>
      <c r="L185" s="6" t="inlineStr"/>
      <c r="M185" s="6" t="inlineStr">
        <is>
          <t>[Out-of-ODD] Animal on roadway</t>
        </is>
      </c>
    </row>
    <row r="186">
      <c r="A186" s="6" t="inlineStr">
        <is>
          <t>OBJ-04</t>
        </is>
      </c>
      <c r="B186" s="6" t="inlineStr">
        <is>
          <t>Animal sur la chaussée</t>
        </is>
      </c>
      <c r="C186" s="6" t="inlineStr">
        <is>
          <t>HW-ELM</t>
        </is>
      </c>
      <c r="D186" s="16" t="inlineStr">
        <is>
          <t>justifié</t>
        </is>
      </c>
      <c r="E186" s="6" t="inlineStr">
        <is>
          <t>catalogue SERYTI</t>
        </is>
      </c>
      <c r="F186" s="6" t="inlineStr">
        <is>
          <t>Le HIRE de HW-ELM relie une déviation de commande sollicitée par la scène (Deceleration command) au hazard de l'abstract (H2, H5)</t>
        </is>
      </c>
      <c r="G186" s="6" t="inlineStr">
        <is>
          <t>H2 Front collision, H5 Loss of stability / control</t>
        </is>
      </c>
      <c r="H186" s="6" t="inlineStr">
        <is>
          <t>Brake Lights command, Deceleration command, Hazard Lights command, Steering command, Turn Signal command</t>
        </is>
      </c>
      <c r="I186" s="6" t="n">
        <v>6</v>
      </c>
      <c r="J186" s="6" t="inlineStr">
        <is>
          <t>HW_ Emergency Lateral Motion_Excessive Deceleration_02
HW_ Emergency Lateral Motion_Insufficient Deceleration_01
HW_ Emergency Lateral Motion_No Deceleration_01
HW_ Emergency Lateral Motion_No Deceleration_02
HW_ Emergency Lateral Motion_No Deceleration_03
HW_ Emergency Lateral Motion_Unintended Deceleration_02</t>
        </is>
      </c>
      <c r="K186" s="6" t="inlineStr">
        <is>
          <t>HFS-009, HFS-012</t>
        </is>
      </c>
      <c r="L186" s="6" t="inlineStr"/>
      <c r="M186" s="6" t="inlineStr">
        <is>
          <t>[Out-of-ODD] Animal on roadway</t>
        </is>
      </c>
    </row>
    <row r="187">
      <c r="A187" s="6" t="inlineStr">
        <is>
          <t>OBJ-04</t>
        </is>
      </c>
      <c r="B187" s="6" t="inlineStr">
        <is>
          <t>Animal sur la chaussée</t>
        </is>
      </c>
      <c r="C187" s="6" t="inlineStr">
        <is>
          <t>HW-FOL</t>
        </is>
      </c>
      <c r="D187" s="16" t="inlineStr">
        <is>
          <t>justifié</t>
        </is>
      </c>
      <c r="E187" s="6" t="inlineStr">
        <is>
          <t>catalogue SERYTI</t>
        </is>
      </c>
      <c r="F187" s="6" t="inlineStr">
        <is>
          <t>Le HIRE de HW-FOL relie une déviation de commande sollicitée par la scène (Deceleration command, Steering command) au hazard de l'abstract (H2, H5)</t>
        </is>
      </c>
      <c r="G187" s="6" t="inlineStr">
        <is>
          <t>H2 Front collision, H5 Loss of stability / control</t>
        </is>
      </c>
      <c r="H187" s="6" t="inlineStr">
        <is>
          <t>Brake Lights command, Deceleration command, Steering command</t>
        </is>
      </c>
      <c r="I187" s="6" t="n">
        <v>30</v>
      </c>
      <c r="J187" s="6" t="inlineStr">
        <is>
          <t>HW_ Lane-Centered Adaptive Follow_Excessive Deceleration_03
HW_ Lane-Centered Adaptive Follow_Excessive Steering_03
HW_ Lane-Centered Adaptive Follow_Insufficient Deceleration_01
HW_ Lane-Centered Adaptive Follow_Insufficient Deceleration_02
HW_ Lane-Centered Adaptive Follow_Insufficient Deceleration_03
HW_ Lane-Centered Adaptive Follow_Insufficient Steering_03
HW_ Lane-Centered Adaptive Follow_No Deceleration_01
HW_ Lane-Centered Adaptive Follow_No Deceleration_03
HW_ Lane-Centered Adaptive Follow_No Deceleration_04
HW_ Lane-Centered Adaptive Follow_No Steering_02</t>
        </is>
      </c>
      <c r="K187" s="6" t="inlineStr">
        <is>
          <t>HFS-025, HFS-028</t>
        </is>
      </c>
      <c r="L187" s="6" t="inlineStr"/>
      <c r="M187" s="6" t="inlineStr">
        <is>
          <t>[Out-of-ODD] Animal on roadway</t>
        </is>
      </c>
    </row>
    <row r="188">
      <c r="A188" s="6" t="inlineStr">
        <is>
          <t>OBJ-04</t>
        </is>
      </c>
      <c r="B188" s="6" t="inlineStr">
        <is>
          <t>Animal sur la chaussée</t>
        </is>
      </c>
      <c r="C188" s="6" t="inlineStr">
        <is>
          <t>HW-CRU</t>
        </is>
      </c>
      <c r="D188" s="16" t="inlineStr">
        <is>
          <t>justifié</t>
        </is>
      </c>
      <c r="E188" s="6" t="inlineStr">
        <is>
          <t>ajouté depuis le HIRE v2 (condition ODD sans abstract)</t>
        </is>
      </c>
      <c r="F188" s="6" t="inlineStr">
        <is>
          <t>Le HIRE de HW-CRU relie une déviation de commande sollicitée par la scène (Deceleration command, Steering command) au hazard de l'abstract (H2, H5)</t>
        </is>
      </c>
      <c r="G188" s="6" t="inlineStr">
        <is>
          <t>H2 Front collision, H5 Loss of stability / control</t>
        </is>
      </c>
      <c r="H188" s="6" t="inlineStr">
        <is>
          <t>Brake Lights command, Deceleration command, Steering command</t>
        </is>
      </c>
      <c r="I188" s="6" t="n">
        <v>28</v>
      </c>
      <c r="J188" s="6" t="inlineStr">
        <is>
          <t>HW_ Lane-Centered Cruise_Deceleration too late_02
HW_ Lane-Centered Cruise_Excessive Steering_10
HW_ Lane-Centered Cruise_No Steering_09
HW_ Lane-Centered Cruise_Excessive Deceleration_03
HW_ Lane-Centered Cruise_Excessive Steering_03
HW_ Lane-Centered Cruise_Insufficient Deceleration_01
HW_ Lane-Centered Cruise_Insufficient Deceleration_02
HW_ Lane-Centered Cruise_Insufficient Deceleration_03
HW_ Lane-Centered Cruise_Insufficient Steering_03
HW_ Lane-Centered Cruise_No Deceleration_01</t>
        </is>
      </c>
      <c r="K188" s="6" t="inlineStr">
        <is>
          <t>HFS-030, HFS-033</t>
        </is>
      </c>
      <c r="L188" s="6" t="inlineStr">
        <is>
          <t>[Out-of-ODD] Animal on roadway</t>
        </is>
      </c>
      <c r="M188" s="6" t="inlineStr"/>
    </row>
    <row r="189">
      <c r="A189" s="6" t="inlineStr">
        <is>
          <t>OBJ-05</t>
        </is>
      </c>
      <c r="B189" s="6" t="inlineStr">
        <is>
          <t>Piéton sur l'autoroute</t>
        </is>
      </c>
      <c r="C189" s="6" t="inlineStr">
        <is>
          <t>HW-CRU</t>
        </is>
      </c>
      <c r="D189" s="16" t="inlineStr">
        <is>
          <t>justifié</t>
        </is>
      </c>
      <c r="E189" s="6" t="inlineStr">
        <is>
          <t>catalogue SERYTI</t>
        </is>
      </c>
      <c r="F189" s="6" t="inlineStr">
        <is>
          <t>Le HIRE de HW-CRU relie une déviation de commande sollicitée par la scène (Deceleration command, Steering command) au hazard de l'abstract (H2)</t>
        </is>
      </c>
      <c r="G189" s="6" t="inlineStr">
        <is>
          <t>H2 Front collision</t>
        </is>
      </c>
      <c r="H189" s="6" t="inlineStr">
        <is>
          <t>Brake Lights command, Deceleration command, Steering command</t>
        </is>
      </c>
      <c r="I189" s="6" t="n">
        <v>15</v>
      </c>
      <c r="J189" s="6" t="inlineStr">
        <is>
          <t>HW_ Lane-Centered Cruise_Deceleration too late_01
HW_ Lane-Centered Cruise_Deceleration too late_03
HW_ Lane-Centered Cruise_No Deceleration_05
HW_ Lane-Centered Cruise_Insufficient Deceleration_01
HW_ Lane-Centered Cruise_Insufficient Deceleration_03
HW_ Lane-Centered Cruise_No Deceleration_01
HW_ Lane-Centered Cruise_No Deceleration_04
HW_ Lane-Centered Cruise_No Steering_02
HW_ Lane-Centered Cruise_Deceleration too late_02
HW_ Lane-Centered Cruise_No Deceleration_07</t>
        </is>
      </c>
      <c r="K189" s="6" t="inlineStr">
        <is>
          <t>HFS-030</t>
        </is>
      </c>
      <c r="L189" s="6" t="inlineStr">
        <is>
          <t>[Out-of-ODD] Disabled / stopped vehicle in lane or shoulder, [Out-of-ODD] Road workers / people in roadway</t>
        </is>
      </c>
      <c r="M189" s="6" t="inlineStr">
        <is>
          <t>VRU present</t>
        </is>
      </c>
    </row>
    <row r="190">
      <c r="A190" s="6" t="inlineStr">
        <is>
          <t>OBJ-05</t>
        </is>
      </c>
      <c r="B190" s="6" t="inlineStr">
        <is>
          <t>Piéton sur l'autoroute</t>
        </is>
      </c>
      <c r="C190" s="6" t="inlineStr">
        <is>
          <t>HW-FOL</t>
        </is>
      </c>
      <c r="D190" s="16" t="inlineStr">
        <is>
          <t>justifié</t>
        </is>
      </c>
      <c r="E190" s="6" t="inlineStr">
        <is>
          <t>catalogue SERYTI</t>
        </is>
      </c>
      <c r="F190" s="6" t="inlineStr">
        <is>
          <t>Le HIRE de HW-FOL relie une déviation de commande sollicitée par la scène (Deceleration command, Steering command) au hazard de l'abstract (H2)</t>
        </is>
      </c>
      <c r="G190" s="6" t="inlineStr">
        <is>
          <t>H2 Front collision</t>
        </is>
      </c>
      <c r="H190" s="6" t="inlineStr">
        <is>
          <t>Brake Lights command, Deceleration command, Steering command</t>
        </is>
      </c>
      <c r="I190" s="6" t="n">
        <v>19</v>
      </c>
      <c r="J190" s="6" t="inlineStr">
        <is>
          <t>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
HW_ Lane-Centered Adaptive Follow_Deceleration too late_05</t>
        </is>
      </c>
      <c r="K190" s="6" t="inlineStr">
        <is>
          <t>HFS-025</t>
        </is>
      </c>
      <c r="L190" s="6" t="inlineStr"/>
      <c r="M190" s="6" t="inlineStr">
        <is>
          <t>[Out-of-ODD] Disabled / stopped vehicle in lane or shoulder, [Out-of-ODD] Road workers / people in roadway, VRU present</t>
        </is>
      </c>
    </row>
    <row r="191">
      <c r="A191" s="6" t="inlineStr">
        <is>
          <t>OBJ-05</t>
        </is>
      </c>
      <c r="B191" s="6" t="inlineStr">
        <is>
          <t>Piéton sur l'autoroute</t>
        </is>
      </c>
      <c r="C191" s="6" t="inlineStr">
        <is>
          <t>HW-ESL</t>
        </is>
      </c>
      <c r="D191" s="16" t="inlineStr">
        <is>
          <t>justifié</t>
        </is>
      </c>
      <c r="E191" s="6" t="inlineStr">
        <is>
          <t>catalogue SERYTI</t>
        </is>
      </c>
      <c r="F191" s="6" t="inlineStr">
        <is>
          <t>Le HIRE de HW-ESL relie une déviation de commande sollicitée par la scène (Deceleration command) au hazard de l'abstract (H2)</t>
        </is>
      </c>
      <c r="G191" s="6" t="inlineStr">
        <is>
          <t>H2 Front collision</t>
        </is>
      </c>
      <c r="H191" s="6" t="inlineStr">
        <is>
          <t>Brake Lights command, Deceleration command, Hazard Lights command, Steering command</t>
        </is>
      </c>
      <c r="I191" s="6" t="n">
        <v>2</v>
      </c>
      <c r="J191" s="6" t="inlineStr">
        <is>
          <t>HW_ Emergency Stop in Lane_No Deceleration_01
HW_ Emergency Stop in Lane_No Deceleration_03</t>
        </is>
      </c>
      <c r="K191" s="6" t="inlineStr">
        <is>
          <t>HFS-015</t>
        </is>
      </c>
      <c r="L191" s="6" t="inlineStr"/>
      <c r="M191" s="6" t="inlineStr">
        <is>
          <t>[Out-of-ODD] Disabled / stopped vehicle in lane or shoulder, [Out-of-ODD] Road workers / people in roadway, VRU present</t>
        </is>
      </c>
    </row>
    <row r="192">
      <c r="A192" s="6" t="inlineStr">
        <is>
          <t>OBJ-05</t>
        </is>
      </c>
      <c r="B192" s="6" t="inlineStr">
        <is>
          <t>Piéton sur l'autoroute</t>
        </is>
      </c>
      <c r="C192" s="6" t="inlineStr">
        <is>
          <t>HW-CSS</t>
        </is>
      </c>
      <c r="D192" s="16" t="inlineStr">
        <is>
          <t>justifié</t>
        </is>
      </c>
      <c r="E192" s="6" t="inlineStr">
        <is>
          <t>catalogue SERYTI</t>
        </is>
      </c>
      <c r="F192" s="6" t="inlineStr">
        <is>
          <t>Le HIRE de HW-CSS relie une déviation de commande sollicitée par la scène (Deceleration command, Steering command) au hazard de l'abstract (H2)</t>
        </is>
      </c>
      <c r="G192" s="6" t="inlineStr">
        <is>
          <t>H2 Front collision</t>
        </is>
      </c>
      <c r="H192" s="6" t="inlineStr">
        <is>
          <t>Brake Lights command, Deceleration command, Hazard Lights command, Steering command, Turn Signal command</t>
        </is>
      </c>
      <c r="I192" s="6" t="n">
        <v>7</v>
      </c>
      <c r="J192" s="6" t="inlineStr">
        <is>
          <t>HW_ Controlled Stop on Shoulder_Unintended Steering_04
HW_ Controlled Stop on Shoulder_Unintended Steering_05
HW_ Controlled Stop on Shoulder_No Deceleration_01
HW_ Controlled Stop on Shoulder_No Deceleration_03
HW_ Controlled Stop on Shoulder_Insufficient Deceleration_02
HW_ Controlled Stop on Shoulder_No Steering_06
HW_ Controlled Stop on Shoulder_Unintended Steering_06</t>
        </is>
      </c>
      <c r="K192" s="6" t="inlineStr">
        <is>
          <t>HFS-004</t>
        </is>
      </c>
      <c r="L192" s="6" t="inlineStr">
        <is>
          <t>[Out-of-ODD] Disabled / stopped vehicle in lane or shoulder</t>
        </is>
      </c>
      <c r="M192" s="6" t="inlineStr">
        <is>
          <t>[Out-of-ODD] Road workers / people in roadway, VRU present</t>
        </is>
      </c>
    </row>
    <row r="193">
      <c r="A193" s="6" t="inlineStr">
        <is>
          <t>OBJ-06</t>
        </is>
      </c>
      <c r="B193" s="6" t="inlineStr">
        <is>
          <t>Objet qui apparaît soudainement près du SDT</t>
        </is>
      </c>
      <c r="C193" s="6" t="inlineStr">
        <is>
          <t>HW-FOL</t>
        </is>
      </c>
      <c r="D193" s="16" t="inlineStr">
        <is>
          <t>justifié</t>
        </is>
      </c>
      <c r="E193" s="6" t="inlineStr">
        <is>
          <t>catalogue SERYTI</t>
        </is>
      </c>
      <c r="F193" s="6" t="inlineStr">
        <is>
          <t>Le HIRE de HW-FOL relie une déviation de commande sollicitée par la scène (Deceleration command, Steering command) au hazard de l'abstract (H2)</t>
        </is>
      </c>
      <c r="G193" s="6" t="inlineStr">
        <is>
          <t>H2 Front collision</t>
        </is>
      </c>
      <c r="H193" s="6" t="inlineStr">
        <is>
          <t>Brake Lights command, Deceleration command, Steering command</t>
        </is>
      </c>
      <c r="I193" s="6" t="n">
        <v>19</v>
      </c>
      <c r="J193" s="6" t="inlineStr">
        <is>
          <t>HW_ Lane-Centered Adaptive Follow_Deceleration too late_07
HW_ Lane-Centered Adaptive Follow_Insufficient Deceleration_01
HW_ Lane-Centered Adaptive Follow_Insufficient Deceleration_03
HW_ Lane-Centered Adaptive Follow_No Deceleration_01
HW_ Lane-Centered Adaptive Follow_No Deceleration_04
HW_ Lane-Centered Adaptive Follow_No Steering_02
HW_ Lane-Centered Adaptive Follow_Deceleration too late_01
HW_ Lane-Centered Adaptive Follow_Deceleration too late_02
HW_ Lane-Centered Adaptive Follow_Deceleration too late_03
HW_ Lane-Centered Adaptive Follow_Deceleration too late_04</t>
        </is>
      </c>
      <c r="K193" s="6" t="inlineStr">
        <is>
          <t>HFS-025</t>
        </is>
      </c>
      <c r="L193" s="6" t="inlineStr">
        <is>
          <t>[Out-of-ODD] Sudden object intrusion</t>
        </is>
      </c>
      <c r="M193" s="6" t="inlineStr">
        <is>
          <t>Foreign Object Debris (FOD) in lane, [Out-of-ODD] Tire debris / blown tire / lost cargo</t>
        </is>
      </c>
    </row>
    <row r="194">
      <c r="A194" s="6" t="inlineStr">
        <is>
          <t>OBJ-06</t>
        </is>
      </c>
      <c r="B194" s="6" t="inlineStr">
        <is>
          <t>Objet qui apparaît soudainement près du SDT</t>
        </is>
      </c>
      <c r="C194" s="6" t="inlineStr">
        <is>
          <t>HW-ESL</t>
        </is>
      </c>
      <c r="D194" s="16" t="inlineStr">
        <is>
          <t>justifié</t>
        </is>
      </c>
      <c r="E194" s="6" t="inlineStr">
        <is>
          <t>catalogue SERYTI</t>
        </is>
      </c>
      <c r="F194" s="6" t="inlineStr">
        <is>
          <t>Le HIRE de HW-ESL relie une déviation de commande sollicitée par la scène (Deceleration command) au hazard de l'abstract (H2)</t>
        </is>
      </c>
      <c r="G194" s="6" t="inlineStr">
        <is>
          <t>H2 Front collision</t>
        </is>
      </c>
      <c r="H194" s="6" t="inlineStr">
        <is>
          <t>Brake Lights command, Deceleration command, Hazard Lights command, Steering command</t>
        </is>
      </c>
      <c r="I194" s="6" t="n">
        <v>2</v>
      </c>
      <c r="J194" s="6" t="inlineStr">
        <is>
          <t>HW_ Emergency Stop in Lane_No Deceleration_01
HW_ Emergency Stop in Lane_No Deceleration_03</t>
        </is>
      </c>
      <c r="K194" s="6" t="inlineStr">
        <is>
          <t>HFS-015</t>
        </is>
      </c>
      <c r="L194" s="6" t="inlineStr"/>
      <c r="M194" s="6" t="inlineStr">
        <is>
          <t>Foreign Object Debris (FOD) in lane, [Out-of-ODD] Tire debris / blown tire / lost cargo, [Out-of-ODD] Sudden object intrusion</t>
        </is>
      </c>
    </row>
    <row r="195">
      <c r="A195" s="6" t="inlineStr">
        <is>
          <t>OBJ-06</t>
        </is>
      </c>
      <c r="B195" s="6" t="inlineStr">
        <is>
          <t>Objet qui apparaît soudainement près du SDT</t>
        </is>
      </c>
      <c r="C195" s="6" t="inlineStr">
        <is>
          <t>HW-ELM</t>
        </is>
      </c>
      <c r="D195" s="16" t="inlineStr">
        <is>
          <t>justifié</t>
        </is>
      </c>
      <c r="E195" s="6" t="inlineStr">
        <is>
          <t>catalogue SERYTI</t>
        </is>
      </c>
      <c r="F195" s="6" t="inlineStr">
        <is>
          <t>Le HIRE de HW-ELM relie une déviation de commande sollicitée par la scène (Deceleration command) au hazard de l'abstract (H2)</t>
        </is>
      </c>
      <c r="G195" s="6" t="inlineStr">
        <is>
          <t>H2 Front collision</t>
        </is>
      </c>
      <c r="H195" s="6" t="inlineStr">
        <is>
          <t>Brake Lights command, Deceleration command, Hazard Lights command, Steering command, Turn Signal command</t>
        </is>
      </c>
      <c r="I195" s="6" t="n">
        <v>2</v>
      </c>
      <c r="J195" s="6" t="inlineStr">
        <is>
          <t>HW_ Emergency Lateral Motion_No Deceleration_01
HW_ Emergency Lateral Motion_No Deceleration_03</t>
        </is>
      </c>
      <c r="K195" s="6" t="inlineStr">
        <is>
          <t>HFS-009</t>
        </is>
      </c>
      <c r="L195" s="6" t="inlineStr"/>
      <c r="M195" s="6" t="inlineStr">
        <is>
          <t>Foreign Object Debris (FOD) in lane, [Out-of-ODD] Tire debris / blown tire / lost cargo, [Out-of-ODD] Sudden object intrusion</t>
        </is>
      </c>
    </row>
    <row r="196">
      <c r="A196" s="6" t="inlineStr">
        <is>
          <t>OBJ-06</t>
        </is>
      </c>
      <c r="B196" s="6" t="inlineStr">
        <is>
          <t>Objet qui apparaît soudainement près du SDT</t>
        </is>
      </c>
      <c r="C196" s="6" t="inlineStr">
        <is>
          <t>HW-CRU</t>
        </is>
      </c>
      <c r="D196" s="16" t="inlineStr">
        <is>
          <t>justifié</t>
        </is>
      </c>
      <c r="E196" s="6" t="inlineStr">
        <is>
          <t>ajouté depuis le HIRE v2 (condition ODD sans abstract)</t>
        </is>
      </c>
      <c r="F196" s="6" t="inlineStr">
        <is>
          <t>Le HIRE de HW-CRU relie une déviation de commande sollicitée par la scène (Deceleration command, Steering command) au hazard de l'abstract (H2)</t>
        </is>
      </c>
      <c r="G196" s="6" t="inlineStr">
        <is>
          <t>H2 Front collision</t>
        </is>
      </c>
      <c r="H196" s="6" t="inlineStr">
        <is>
          <t>Brake Lights command, Deceleration command, Steering command</t>
        </is>
      </c>
      <c r="I196" s="6" t="n">
        <v>15</v>
      </c>
      <c r="J196" s="6" t="inlineStr">
        <is>
          <t>HW_ Lane-Centered Cruise_No Steering_08
HW_ Lane-Centered Cruise_No Steering_10
HW_ Lane-Centered Cruise_Insufficient Deceleration_01
HW_ Lane-Centered Cruise_Insufficient Deceleration_03
HW_ Lane-Centered Cruise_No Deceleration_01
HW_ Lane-Centered Cruise_No Deceleration_04
HW_ Lane-Centered Cruise_No Steering_02
HW_ Lane-Centered Cruise_Deceleration too late_01
HW_ Lane-Centered Cruise_Deceleration too late_02
HW_ Lane-Centered Cruise_Deceleration too late_03</t>
        </is>
      </c>
      <c r="K196" s="6" t="inlineStr">
        <is>
          <t>HFS-030</t>
        </is>
      </c>
      <c r="L196" s="6" t="inlineStr">
        <is>
          <t>Foreign Object Debris (FOD) in lane, [Out-of-ODD] Tire debris / blown tire / lost cargo, [Out-of-ODD] Sudden object intrusion</t>
        </is>
      </c>
      <c r="M196" s="6" t="inlineStr"/>
    </row>
    <row r="197">
      <c r="A197" s="6" t="inlineStr">
        <is>
          <t>AB-01</t>
        </is>
      </c>
      <c r="B197" s="6" t="inlineStr">
        <is>
          <t>Conducteur à contresens</t>
        </is>
      </c>
      <c r="C197" s="6" t="inlineStr">
        <is>
          <t>HW-ESL</t>
        </is>
      </c>
      <c r="D197" s="17" t="inlineStr">
        <is>
          <t>justifié indirectement</t>
        </is>
      </c>
      <c r="E197" s="6" t="inlineStr">
        <is>
          <t>catalogue SERYTI</t>
        </is>
      </c>
      <c r="F197" s="6" t="inlineStr">
        <is>
          <t>Abstract pas encore générable : lien fondé sur le hazard seul (H2)</t>
        </is>
      </c>
      <c r="G197" s="6" t="inlineStr">
        <is>
          <t>H2 Front collision</t>
        </is>
      </c>
      <c r="H197" s="6" t="inlineStr"/>
      <c r="I197" s="6" t="n">
        <v>4</v>
      </c>
      <c r="J197" s="6" t="inlineStr">
        <is>
          <t>HW_ Emergency Stop in Lane_Excessive Acceleration_01
HW_ Emergency Stop in Lane_No Deceleration_01
HW_ Emergency Stop in Lane_No Deceleration_03
HW_ Emergency Stop in Lane_Unintended Acceleration_01</t>
        </is>
      </c>
      <c r="K197" s="6" t="inlineStr">
        <is>
          <t>HFS-015</t>
        </is>
      </c>
      <c r="L197" s="6" t="inlineStr"/>
      <c r="M197" s="6" t="inlineStr"/>
    </row>
    <row r="198">
      <c r="A198" s="6" t="inlineStr">
        <is>
          <t>AB-01</t>
        </is>
      </c>
      <c r="B198" s="6" t="inlineStr">
        <is>
          <t>Conducteur à contresens</t>
        </is>
      </c>
      <c r="C198" s="6" t="inlineStr">
        <is>
          <t>HW-ELM</t>
        </is>
      </c>
      <c r="D198" s="17" t="inlineStr">
        <is>
          <t>justifié indirectement</t>
        </is>
      </c>
      <c r="E198" s="6" t="inlineStr">
        <is>
          <t>catalogue SERYTI</t>
        </is>
      </c>
      <c r="F198" s="6" t="inlineStr">
        <is>
          <t>Abstract pas encore générable : lien fondé sur le hazard seul (H2)</t>
        </is>
      </c>
      <c r="G198" s="6" t="inlineStr">
        <is>
          <t>H2 Front collision</t>
        </is>
      </c>
      <c r="H198" s="6" t="inlineStr"/>
      <c r="I198" s="6" t="n">
        <v>4</v>
      </c>
      <c r="J198" s="6" t="inlineStr">
        <is>
          <t>HW_ Emergency Lateral Motion_Excessive Acceleration_01
HW_ Emergency Lateral Motion_No Deceleration_01
HW_ Emergency Lateral Motion_No Deceleration_03
HW_ Emergency Lateral Motion_Unintended Acceleration_01</t>
        </is>
      </c>
      <c r="K198" s="6" t="inlineStr">
        <is>
          <t>HFS-009</t>
        </is>
      </c>
      <c r="L198" s="6" t="inlineStr"/>
      <c r="M198" s="6" t="inlineStr"/>
    </row>
    <row r="199">
      <c r="A199" s="6" t="inlineStr">
        <is>
          <t>AB-01</t>
        </is>
      </c>
      <c r="B199" s="6" t="inlineStr">
        <is>
          <t>Conducteur à contresens</t>
        </is>
      </c>
      <c r="C199" s="6" t="inlineStr">
        <is>
          <t>HW-CSS</t>
        </is>
      </c>
      <c r="D199" s="17" t="inlineStr">
        <is>
          <t>justifié indirectement</t>
        </is>
      </c>
      <c r="E199" s="6" t="inlineStr">
        <is>
          <t>catalogue SERYTI</t>
        </is>
      </c>
      <c r="F199" s="6" t="inlineStr">
        <is>
          <t>Abstract pas encore générable : lien fondé sur le hazard seul (H2)</t>
        </is>
      </c>
      <c r="G199" s="6" t="inlineStr">
        <is>
          <t>H2 Front collision</t>
        </is>
      </c>
      <c r="H199" s="6" t="inlineStr"/>
      <c r="I199" s="6" t="n">
        <v>9</v>
      </c>
      <c r="J199" s="6" t="inlineStr">
        <is>
          <t>HW_ Controlled Stop on Shoulder_Excessive Acceleration_01
HW_ Controlled Stop on Shoulder_No Deceleration_01
HW_ Controlled Stop on Shoulder_No Deceleration_03
HW_ Controlled Stop on Shoulder_Unintended Acceleration_01
HW_ Controlled Stop on Shoulder_Insufficient Deceleration_02
HW_ Controlled Stop on Shoulder_No Steering_06
HW_ Controlled Stop on Shoulder_Unintended Steering_04
HW_ Controlled Stop on Shoulder_Unintended Steering_05
HW_ Controlled Stop on Shoulder_Unintended Steering_06</t>
        </is>
      </c>
      <c r="K199" s="6" t="inlineStr">
        <is>
          <t>HFS-004</t>
        </is>
      </c>
      <c r="L199" s="6" t="inlineStr"/>
      <c r="M199" s="6" t="inlineStr"/>
    </row>
    <row r="200">
      <c r="A200" s="6" t="inlineStr">
        <is>
          <t>AB-02</t>
        </is>
      </c>
      <c r="B200" s="6" t="inlineStr">
        <is>
          <t>Suiveur trop proche (tailgater)</t>
        </is>
      </c>
      <c r="C200" s="6" t="inlineStr">
        <is>
          <t>HW-CRU</t>
        </is>
      </c>
      <c r="D200" s="16" t="inlineStr">
        <is>
          <t>justifié</t>
        </is>
      </c>
      <c r="E200" s="6" t="inlineStr">
        <is>
          <t>catalogue SERYTI</t>
        </is>
      </c>
      <c r="F200" s="6" t="inlineStr">
        <is>
          <t>Le HIRE de HW-CRU relie une déviation de commande sollicitée par la scène (Acceleration command, Deceleration command) au hazard de l'abstract (H3)</t>
        </is>
      </c>
      <c r="G200" s="6" t="inlineStr">
        <is>
          <t>H3 Rear-end by follower</t>
        </is>
      </c>
      <c r="H200" s="6" t="inlineStr">
        <is>
          <t>Acceleration command, Deceleration command</t>
        </is>
      </c>
      <c r="I200" s="6" t="n">
        <v>12</v>
      </c>
      <c r="J200" s="6" t="inlineStr">
        <is>
          <t>HW_ Lane-Centered Cruise_Excessive Deceleration_01
HW_ Lane-Centered Cruise_Excessive Deceleration_02
HW_ Lane-Centered Cruise_Excessive Deceleration_04
HW_ Lane-Centered Cruise_Insufficient Acceleration_01
HW_ Lane-Centered Cruise_Insufficient Acceleration_03
HW_ Lane-Centered Cruise_No Acceleration_01
HW_ Lane-Centered Cruise_No Acceleration_03
HW_ Lane-Centered Cruise_Unintended Deceleration_01
HW_ Lane-Centered Cruise_Unintended Deceleration_02
HW_ Lane-Centered Cruise_Unintended Deceleration_04</t>
        </is>
      </c>
      <c r="K200" s="6" t="inlineStr">
        <is>
          <t>HFS-031</t>
        </is>
      </c>
      <c r="L200" s="6" t="inlineStr"/>
      <c r="M200" s="6" t="inlineStr"/>
    </row>
    <row r="201">
      <c r="A201" s="6" t="inlineStr">
        <is>
          <t>AB-02</t>
        </is>
      </c>
      <c r="B201" s="6" t="inlineStr">
        <is>
          <t>Suiveur trop proche (tailgater)</t>
        </is>
      </c>
      <c r="C201" s="6" t="inlineStr">
        <is>
          <t>HW-FOL</t>
        </is>
      </c>
      <c r="D201" s="16" t="inlineStr">
        <is>
          <t>justifié</t>
        </is>
      </c>
      <c r="E201" s="6" t="inlineStr">
        <is>
          <t>catalogue SERYTI</t>
        </is>
      </c>
      <c r="F201" s="6" t="inlineStr">
        <is>
          <t>Le HIRE de HW-FOL relie une déviation de commande sollicitée par la scène (Acceleration command, Deceleration command) au hazard de l'abstract (H3)</t>
        </is>
      </c>
      <c r="G201" s="6" t="inlineStr">
        <is>
          <t>H3 Rear-end by follower</t>
        </is>
      </c>
      <c r="H201" s="6" t="inlineStr">
        <is>
          <t>Acceleration command, Deceleration command</t>
        </is>
      </c>
      <c r="I201" s="6" t="n">
        <v>11</v>
      </c>
      <c r="J201" s="6" t="inlineStr">
        <is>
          <t>HW_ Lane-Centered Adaptive Follow_Excessive Deceleration_01
HW_ Lane-Centered Adaptive Follow_Excessive Deceleration_02
HW_ Lane-Centered Adaptive Follow_Excessive Deceleration_04
HW_ Lane-Centered Adaptive Follow_Insufficient Acceleration_01
HW_ Lane-Centered Adaptive Follow_Insufficient Acceleration_03
HW_ Lane-Centered Adaptive Follow_No Acceleration_01
HW_ Lane-Centered Adaptive Follow_No Acceleration_03
HW_ Lane-Centered Adaptive Follow_Unintended Deceleration_01
HW_ Lane-Centered Adaptive Follow_Unintended Deceleration_02
HW_ Lane-Centered Adaptive Follow_Unintended Deceleration_04</t>
        </is>
      </c>
      <c r="K201" s="6" t="inlineStr">
        <is>
          <t>HFS-026</t>
        </is>
      </c>
      <c r="L201" s="6" t="inlineStr"/>
      <c r="M201" s="6" t="inlineStr"/>
    </row>
    <row r="202">
      <c r="A202" s="6" t="inlineStr">
        <is>
          <t>AB-02</t>
        </is>
      </c>
      <c r="B202" s="6" t="inlineStr">
        <is>
          <t>Suiveur trop proche (tailgater)</t>
        </is>
      </c>
      <c r="C202" s="6" t="inlineStr">
        <is>
          <t>HW-ESL</t>
        </is>
      </c>
      <c r="D202" s="16" t="inlineStr">
        <is>
          <t>justifié</t>
        </is>
      </c>
      <c r="E202" s="6" t="inlineStr">
        <is>
          <t>catalogue SERYTI</t>
        </is>
      </c>
      <c r="F202" s="6" t="inlineStr">
        <is>
          <t>Le HIRE de HW-ESL relie une déviation de commande sollicitée par la scène (Acceleration command, Deceleration command, Hazard Lights command) au hazard de l'abstract (H3)</t>
        </is>
      </c>
      <c r="G202" s="6" t="inlineStr">
        <is>
          <t>H3 Rear-end by follower</t>
        </is>
      </c>
      <c r="H202" s="6" t="inlineStr">
        <is>
          <t>Acceleration command, Brake Lights command, Deceleration command, Hazard Lights command</t>
        </is>
      </c>
      <c r="I202" s="6" t="n">
        <v>10</v>
      </c>
      <c r="J202" s="6" t="inlineStr">
        <is>
          <t>HW_ Emergency Stop in Lane_Excessive Deceleration_01
HW_ Emergency Stop in Lane_Excessive Deceleration_03
HW_ Emergency Stop in Lane_Hazard Lights too late_01
HW_ Emergency Stop in Lane_Hazard Lights too late_02
HW_ Emergency Stop in Lane_Hazard Lights too late_03
HW_ Emergency Stop in Lane_No Acceleration_01
HW_ Emergency Stop in Lane_Unintended Deceleration_01
HW_ Emergency Stop in Lane_Unintended Deceleration_03
HW_ Stop in Lane_Deceleration for too long / stuck_01
HW_ Stop in Lane_Unintended Deceleration_01</t>
        </is>
      </c>
      <c r="K202" s="6" t="inlineStr">
        <is>
          <t>HFS-016, HFS-045</t>
        </is>
      </c>
      <c r="L202" s="6" t="inlineStr"/>
      <c r="M202" s="6" t="inlineStr"/>
    </row>
    <row r="203">
      <c r="A203" s="6" t="inlineStr">
        <is>
          <t>AB-02</t>
        </is>
      </c>
      <c r="B203" s="6" t="inlineStr">
        <is>
          <t>Suiveur trop proche (tailgater)</t>
        </is>
      </c>
      <c r="C203" s="6" t="inlineStr">
        <is>
          <t>HW-CSS</t>
        </is>
      </c>
      <c r="D203" s="16" t="inlineStr">
        <is>
          <t>justifié</t>
        </is>
      </c>
      <c r="E203" s="6" t="inlineStr">
        <is>
          <t>catalogue SERYTI</t>
        </is>
      </c>
      <c r="F203" s="6" t="inlineStr">
        <is>
          <t>Le HIRE de HW-CSS relie une déviation de commande sollicitée par la scène (Acceleration command, Deceleration command, Hazard Lights command, Steering command) au hazard de l'abstract (H3)</t>
        </is>
      </c>
      <c r="G203" s="6" t="inlineStr">
        <is>
          <t>H3 Rear-end by follower</t>
        </is>
      </c>
      <c r="H203" s="6" t="inlineStr">
        <is>
          <t>Acceleration command, Brake Lights command, Deceleration command, Hazard Lights command, Steering command, Turn Signal command</t>
        </is>
      </c>
      <c r="I203" s="6" t="n">
        <v>11</v>
      </c>
      <c r="J203" s="6" t="inlineStr">
        <is>
          <t>HW_ Controlled Stop on Shoulder_Excessive Deceleration_01
HW_ Controlled Stop on Shoulder_Excessive Deceleration_03
HW_ Controlled Stop on Shoulder_Hazard Lights too late_01
HW_ Controlled Stop on Shoulder_Hazard Lights too late_02
HW_ Controlled Stop on Shoulder_Hazard Lights too late_03
HW_ Controlled Stop on Shoulder_No Acceleration_01
HW_ Controlled Stop on Shoulder_Unintended Deceleration_01
HW_ Controlled Stop on Shoulder_Unintended Deceleration_03
HW_ Controlled Stop on Shoulder_No Steering_03
HW_ Controlled Stop on Shoulder_No Steering_04</t>
        </is>
      </c>
      <c r="K203" s="6" t="inlineStr">
        <is>
          <t>HFS-005</t>
        </is>
      </c>
      <c r="L203" s="6" t="inlineStr"/>
      <c r="M203" s="6" t="inlineStr"/>
    </row>
    <row r="204">
      <c r="A204" s="6" t="inlineStr">
        <is>
          <t>AB-03</t>
        </is>
      </c>
      <c r="B204" s="6" t="inlineStr">
        <is>
          <t>Véhicule qui roule sur l'accotement</t>
        </is>
      </c>
      <c r="C204" s="6" t="inlineStr">
        <is>
          <t>HW-CRU</t>
        </is>
      </c>
      <c r="D204" s="16" t="inlineStr">
        <is>
          <t>justifié</t>
        </is>
      </c>
      <c r="E204" s="6" t="inlineStr">
        <is>
          <t>catalogue SERYTI</t>
        </is>
      </c>
      <c r="F204" s="6" t="inlineStr">
        <is>
          <t>Le HIRE de HW-CRU relie une déviation de commande sollicitée par la scène (Steering command) au hazard de l'abstract (H1)</t>
        </is>
      </c>
      <c r="G204" s="6" t="inlineStr">
        <is>
          <t>H1 Side collision</t>
        </is>
      </c>
      <c r="H204" s="6" t="inlineStr">
        <is>
          <t>Steering command</t>
        </is>
      </c>
      <c r="I204" s="6" t="n">
        <v>31</v>
      </c>
      <c r="J204" s="6" t="inlineStr">
        <is>
          <t>HW_ Lane-Centered Cruise_Excessive Steering_01
HW_ Lane-Centered Cruise_Excessive Steering_02
HW_ Lane-Centered Cruise_Excessive Steering_04
HW_ Lane-Centered Cruise_Insufficient Steering_01
HW_ Lane-Centered Cruise_Insufficient Steering_04
HW_ Lane-Centered Cruise_No Steering_01
HW_ Lane-Centered Cruise_No Steering_04
HW_ Lane-Centered Cruise_Steering for too long / stuck_01
HW_ Lane-Centered Cruise_Steering for too long / stuck_03
HW_ Lane-Centered Cruise_Steering in opposite direction_01</t>
        </is>
      </c>
      <c r="K204" s="6" t="inlineStr">
        <is>
          <t>HFS-029</t>
        </is>
      </c>
      <c r="L204" s="6" t="inlineStr"/>
      <c r="M204" s="6" t="inlineStr"/>
    </row>
    <row r="205">
      <c r="A205" s="6" t="inlineStr">
        <is>
          <t>AB-03</t>
        </is>
      </c>
      <c r="B205" s="6" t="inlineStr">
        <is>
          <t>Véhicule qui roule sur l'accotement</t>
        </is>
      </c>
      <c r="C205" s="6" t="inlineStr">
        <is>
          <t>HW-CSS</t>
        </is>
      </c>
      <c r="D205" s="16" t="inlineStr">
        <is>
          <t>justifié</t>
        </is>
      </c>
      <c r="E205" s="6" t="inlineStr">
        <is>
          <t>catalogue SERYTI</t>
        </is>
      </c>
      <c r="F205" s="6" t="inlineStr">
        <is>
          <t>Le HIRE de HW-CSS relie une déviation de commande sollicitée par la scène (Steering command, Turn Signal command) au hazard de l'abstract (H1)</t>
        </is>
      </c>
      <c r="G205" s="6" t="inlineStr">
        <is>
          <t>H1 Side collision</t>
        </is>
      </c>
      <c r="H205" s="6" t="inlineStr">
        <is>
          <t>Brake Lights command, Deceleration command, Hazard Lights command, Steering command, Turn Signal command</t>
        </is>
      </c>
      <c r="I205" s="6" t="n">
        <v>14</v>
      </c>
      <c r="J205" s="6" t="inlineStr">
        <is>
          <t>HW_ Controlled Stop On Shoulder_No Turn Signal_01
HW_ Controlled Stop on Shoulder_Excessive Steering_01
HW_ Controlled Stop on Shoulder_Excessive Steering_02
HW_ Controlled Stop on Shoulder_Insufficient Steering_01
HW_ Controlled Stop on Shoulder_Insufficient Steering_02
HW_ Controlled Stop on Shoulder_No Steering_01
HW_ Controlled Stop on Shoulder_No Steering_02
HW_ Controlled Stop on Shoulder_Steering for too long / stuck_01
HW_ Controlled Stop on Shoulder_Steering for too long / stuck_02
HW_ Controlled Stop on Shoulder_Steering in opposite direction_01</t>
        </is>
      </c>
      <c r="K205" s="6" t="inlineStr">
        <is>
          <t>HFS-001, HFS-003</t>
        </is>
      </c>
      <c r="L205" s="6" t="inlineStr"/>
      <c r="M205" s="6" t="inlineStr"/>
    </row>
    <row r="206">
      <c r="A206" s="6" t="inlineStr">
        <is>
          <t>LC-ABT-01</t>
        </is>
      </c>
      <c r="B206" s="6" t="inlineStr">
        <is>
          <t>lane change abort and return</t>
        </is>
      </c>
      <c r="C206" s="6" t="inlineStr">
        <is>
          <t>HW-LC</t>
        </is>
      </c>
      <c r="D206" s="16" t="inlineStr">
        <is>
          <t>justifié</t>
        </is>
      </c>
      <c r="E206" s="6" t="inlineStr">
        <is>
          <t>catalogue SERYTI</t>
        </is>
      </c>
      <c r="F206" s="6" t="inlineStr">
        <is>
          <t>Le HIRE de HW-LC relie une déviation de commande sollicitée par la scène (Acceleration command, Deceleration command, Steering command, Turn Signal command) au hazard de l'abstract (H1, H5)</t>
        </is>
      </c>
      <c r="G206" s="6" t="inlineStr">
        <is>
          <t>H1 Side collision, H5 Loss of stability / control</t>
        </is>
      </c>
      <c r="H206" s="6" t="inlineStr">
        <is>
          <t>Acceleration command, Brake Lights command, Deceleration command, Steering command, Turn Signal command</t>
        </is>
      </c>
      <c r="I206" s="6" t="n">
        <v>37</v>
      </c>
      <c r="J206" s="6" t="inlineStr">
        <is>
          <t>HW_ Lane Changes / Overtaking_Excessive Acceleration_03
HW_ Lane Changes / Overtaking_Excessive Deceleration_03
HW_ Lane Changes / Overtaking_Excessive Steering_01
HW_ Lane Changes / Overtaking_Excessive Steering_02
HW_ Lane Changes / Overtaking_Excessive Steering_03
HW_ Lane Changes / Overtaking_Excessive Steering_04
HW_ Lane Changes / Overtaking_Insufficient Acceleration_02
HW_ Lane Changes / Overtaking_Insufficient Deceleration_02
HW_ Lane Changes / Overtaking_Insufficient Steering_01
HW_ Lane Changes / Overtaking_Insufficient Steering_03</t>
        </is>
      </c>
      <c r="K206" s="6" t="inlineStr">
        <is>
          <t>HFS-019, HFS-023</t>
        </is>
      </c>
      <c r="L206" s="6" t="inlineStr"/>
      <c r="M206" s="6" t="inlineStr"/>
    </row>
    <row r="207">
      <c r="A207" s="6" t="inlineStr">
        <is>
          <t>LC-ABT-02</t>
        </is>
      </c>
      <c r="B207" s="6" t="inlineStr">
        <is>
          <t>lane change interrupted by ddt fallback</t>
        </is>
      </c>
      <c r="C207" s="6" t="inlineStr">
        <is>
          <t>HW-LC</t>
        </is>
      </c>
      <c r="D207" s="16" t="inlineStr">
        <is>
          <t>justifié</t>
        </is>
      </c>
      <c r="E207" s="6" t="inlineStr">
        <is>
          <t>catalogue SERYTI</t>
        </is>
      </c>
      <c r="F207" s="6" t="inlineStr">
        <is>
          <t>Le HIRE de HW-LC relie une déviation de commande sollicitée par la scène (Acceleration command, Deceleration command, Steering command, Turn Signal command) au hazard de l'abstract (H1, H2, H3)</t>
        </is>
      </c>
      <c r="G207" s="6" t="inlineStr">
        <is>
          <t>H1 Side collision, H2 Front collision, H3 Rear-end by follower</t>
        </is>
      </c>
      <c r="H207" s="6" t="inlineStr">
        <is>
          <t>Acceleration command, Brake Lights command, Deceleration command, Hazard Lights command, Steering command, Turn Signal command</t>
        </is>
      </c>
      <c r="I207" s="6" t="n">
        <v>46</v>
      </c>
      <c r="J207" s="6" t="inlineStr">
        <is>
          <t>HW_ Lane Changes / Overtaking_Excessive Acceleration_01
HW_ Lane Changes / Overtaking_Excessive Acceleration_02
HW_ Lane Changes / Overtaking_Excessive Acceleration_04
HW_ Lane Changes / Overtaking_Excessive Deceleration_01
HW_ Lane Changes / Overtaking_Excessive Deceleration_02
HW_ Lane Changes / Overtaking_Excessive Deceleration_04
HW_ Lane Changes / Overtaking_Excessive Steering_01
HW_ Lane Changes / Overtaking_Excessive Steering_02
HW_ Lane Changes / Overtaking_Excessive Steering_04
HW_ Lane Changes / Overtaking_Insufficient Acceleration_01</t>
        </is>
      </c>
      <c r="K207" s="6" t="inlineStr">
        <is>
          <t>HFS-019, HFS-020, HFS-021</t>
        </is>
      </c>
      <c r="L207" s="6" t="inlineStr"/>
      <c r="M207" s="6" t="inlineStr">
        <is>
          <t>Shoulder — absent (no shoulder)</t>
        </is>
      </c>
    </row>
    <row r="208">
      <c r="A208" s="6" t="inlineStr">
        <is>
          <t>LC-ABT-02</t>
        </is>
      </c>
      <c r="B208" s="6" t="inlineStr">
        <is>
          <t>lane change interrupted by ddt fallback</t>
        </is>
      </c>
      <c r="C208" s="6" t="inlineStr">
        <is>
          <t>HW-CSS</t>
        </is>
      </c>
      <c r="D208" s="16" t="inlineStr">
        <is>
          <t>justifié</t>
        </is>
      </c>
      <c r="E208" s="6" t="inlineStr">
        <is>
          <t>catalogue SERYTI</t>
        </is>
      </c>
      <c r="F208" s="6" t="inlineStr">
        <is>
          <t>Le HIRE de HW-CSS relie une déviation de commande sollicitée par la scène (Acceleration command, Deceleration command, Hazard Lights command, Steering command, Turn Signal command) au hazard de l'abstract (H1, H2, H3)</t>
        </is>
      </c>
      <c r="G208" s="6" t="inlineStr">
        <is>
          <t>H1 Side collision, H2 Front collision, H3 Rear-end by follower</t>
        </is>
      </c>
      <c r="H208" s="6" t="inlineStr">
        <is>
          <t>Acceleration command, Brake Lights command, Deceleration command, Hazard Lights command, Steering command, Turn Signal command</t>
        </is>
      </c>
      <c r="I208" s="6" t="n">
        <v>34</v>
      </c>
      <c r="J208" s="6" t="inlineStr">
        <is>
          <t>HW_ Controlled Stop on Shoulder_No Steering_03
HW_ Controlled Stop on Shoulder_Unintended Steering_03
HW_ Controlled Stop On Shoulder_No Turn Signal_01
HW_ Controlled Stop on Shoulder_Excessive Acceleration_01
HW_ Controlled Stop on Shoulder_Excessive Deceleration_01
HW_ Controlled Stop on Shoulder_Excessive Deceleration_03
HW_ Controlled Stop on Shoulder_Excessive Steering_01
HW_ Controlled Stop on Shoulder_Excessive Steering_02
HW_ Controlled Stop on Shoulder_Hazard Lights too late_01
HW_ Controlled Stop on Shoulder_Hazard Lights too late_02</t>
        </is>
      </c>
      <c r="K208" s="6" t="inlineStr">
        <is>
          <t>HFS-001, HFS-003, HFS-004, HFS-005</t>
        </is>
      </c>
      <c r="L208" s="6" t="inlineStr">
        <is>
          <t>Shoulder — absent (no shoulder)</t>
        </is>
      </c>
      <c r="M208" s="6" t="inlineStr"/>
    </row>
    <row r="209">
      <c r="A209" s="6" t="inlineStr">
        <is>
          <t>LC-ABT-02</t>
        </is>
      </c>
      <c r="B209" s="6" t="inlineStr">
        <is>
          <t>lane change interrupted by ddt fallback</t>
        </is>
      </c>
      <c r="C209" s="6" t="inlineStr">
        <is>
          <t>HW-ESL</t>
        </is>
      </c>
      <c r="D209" s="16" t="inlineStr">
        <is>
          <t>justifié</t>
        </is>
      </c>
      <c r="E209" s="6" t="inlineStr">
        <is>
          <t>catalogue SERYTI</t>
        </is>
      </c>
      <c r="F209" s="6" t="inlineStr">
        <is>
          <t>Le HIRE de HW-ESL relie une déviation de commande sollicitée par la scène (Acceleration command, Deceleration command, Hazard Lights command, Steering command) au hazard de l'abstract (H1, H2, H3)</t>
        </is>
      </c>
      <c r="G209" s="6" t="inlineStr">
        <is>
          <t>H1 Side collision, H2 Front collision, H3 Rear-end by follower</t>
        </is>
      </c>
      <c r="H209" s="6" t="inlineStr">
        <is>
          <t>Acceleration command, Brake Lights command, Deceleration command, Hazard Lights command, Steering command</t>
        </is>
      </c>
      <c r="I209" s="6" t="n">
        <v>26</v>
      </c>
      <c r="J209" s="6" t="inlineStr">
        <is>
          <t>HW_ Stop in Lane_Deceleration for too long / stuck_01
HW_ Stop in Lane_Unintended Deceleration_01
HW_ Emergency Stop in Lane_Excessive Acceleration_01
HW_ Emergency Stop in Lane_Excessive Deceleration_01
HW_ Emergency Stop in Lane_Excessive Deceleration_03
HW_ Emergency Stop in Lane_Excessive Steering_01
HW_ Emergency Stop in Lane_Excessive Steering_02
HW_ Emergency Stop in Lane_Hazard Lights too late_01
HW_ Emergency Stop in Lane_Hazard Lights too late_02
HW_ Emergency Stop in Lane_Hazard Lights too late_03</t>
        </is>
      </c>
      <c r="K209" s="6" t="inlineStr">
        <is>
          <t>HFS-014, HFS-015, HFS-016, HFS-045</t>
        </is>
      </c>
      <c r="L209" s="6" t="inlineStr">
        <is>
          <t>Shoulder — absent (no shoulder)</t>
        </is>
      </c>
      <c r="M209" s="6" t="inlineStr"/>
    </row>
    <row r="210">
      <c r="A210" s="6" t="inlineStr">
        <is>
          <t>FB-01</t>
        </is>
      </c>
      <c r="B210" s="6" t="inlineStr">
        <is>
          <t>Dégradation système, accotement disponible</t>
        </is>
      </c>
      <c r="C210" s="6" t="inlineStr">
        <is>
          <t>HW-CSS</t>
        </is>
      </c>
      <c r="D210" s="16" t="inlineStr">
        <is>
          <t>justifié</t>
        </is>
      </c>
      <c r="E210" s="6" t="inlineStr">
        <is>
          <t>catalogue SERYTI</t>
        </is>
      </c>
      <c r="F210" s="6" t="inlineStr">
        <is>
          <t>Le HIRE de HW-CSS relie une déviation de commande sollicitée par la scène (Acceleration command, Deceleration command, Hazard Lights command, Steering command) au hazard de l'abstract (H3)</t>
        </is>
      </c>
      <c r="G210" s="6" t="inlineStr">
        <is>
          <t>H3 Rear-end by follower</t>
        </is>
      </c>
      <c r="H210" s="6" t="inlineStr">
        <is>
          <t>Acceleration command, Brake Lights command, Deceleration command, Hazard Lights command, Steering command, Turn Signal command</t>
        </is>
      </c>
      <c r="I210" s="6" t="n">
        <v>11</v>
      </c>
      <c r="J210" s="6" t="inlineStr">
        <is>
          <t>HW_ Controlled Stop on Shoulder_Excessive Deceleration_01
HW_ Controlled Stop on Shoulder_Excessive Deceleration_03
HW_ Controlled Stop on Shoulder_Hazard Lights too late_01
HW_ Controlled Stop on Shoulder_Hazard Lights too late_02
HW_ Controlled Stop on Shoulder_Hazard Lights too late_03
HW_ Controlled Stop on Shoulder_No Acceleration_01
HW_ Controlled Stop on Shoulder_Unintended Deceleration_01
HW_ Controlled Stop on Shoulder_Unintended Deceleration_03
HW_ Controlled Stop on Shoulder_No Steering_03
HW_ Controlled Stop on Shoulder_No Steering_04</t>
        </is>
      </c>
      <c r="K210" s="6" t="inlineStr">
        <is>
          <t>HFS-005</t>
        </is>
      </c>
      <c r="L210" s="6" t="inlineStr"/>
      <c r="M210" s="6" t="inlineStr"/>
    </row>
    <row r="211">
      <c r="A211" s="6" t="inlineStr">
        <is>
          <t>FB-02</t>
        </is>
      </c>
      <c r="B211" s="6" t="inlineStr">
        <is>
          <t>Dégradation sans accotement disponible</t>
        </is>
      </c>
      <c r="C211" s="6" t="inlineStr">
        <is>
          <t>HW-ESL</t>
        </is>
      </c>
      <c r="D211" s="16" t="inlineStr">
        <is>
          <t>justifié</t>
        </is>
      </c>
      <c r="E211" s="6" t="inlineStr">
        <is>
          <t>catalogue SERYTI</t>
        </is>
      </c>
      <c r="F211" s="6" t="inlineStr">
        <is>
          <t>Le HIRE de HW-ESL relie une déviation de commande sollicitée par la scène (Acceleration command, Deceleration command, Hazard Lights command) au hazard de l'abstract (H3)</t>
        </is>
      </c>
      <c r="G211" s="6" t="inlineStr">
        <is>
          <t>H3 Rear-end by follower</t>
        </is>
      </c>
      <c r="H211" s="6" t="inlineStr">
        <is>
          <t>Acceleration command, Brake Lights command, Deceleration command, Hazard Lights command</t>
        </is>
      </c>
      <c r="I211" s="6" t="n">
        <v>10</v>
      </c>
      <c r="J211" s="6" t="inlineStr">
        <is>
          <t>HW_ Stop in Lane_Deceleration for too long / stuck_01
HW_ Stop in Lane_Unintended Deceleration_01
HW_ Emergency Stop in Lane_Excessive Deceleration_01
HW_ Emergency Stop in Lane_Excessive Deceleration_03
HW_ Emergency Stop in Lane_Hazard Lights too late_01
HW_ Emergency Stop in Lane_Hazard Lights too late_02
HW_ Emergency Stop in Lane_Hazard Lights too late_03
HW_ Emergency Stop in Lane_No Acceleration_01
HW_ Emergency Stop in Lane_Unintended Deceleration_01
HW_ Emergency Stop in Lane_Unintended Deceleration_03</t>
        </is>
      </c>
      <c r="K211" s="6" t="inlineStr">
        <is>
          <t>HFS-016, HFS-045</t>
        </is>
      </c>
      <c r="L211" s="6" t="inlineStr">
        <is>
          <t>Shoulder — absent (no shoulder)</t>
        </is>
      </c>
      <c r="M211" s="6" t="inlineStr"/>
    </row>
    <row r="212">
      <c r="A212" s="6" t="inlineStr">
        <is>
          <t>FB-03</t>
        </is>
      </c>
      <c r="B212" s="6" t="inlineStr">
        <is>
          <t>Accotement occupé au point d'arrêt prévu</t>
        </is>
      </c>
      <c r="C212" s="6" t="inlineStr">
        <is>
          <t>HW-CSS</t>
        </is>
      </c>
      <c r="D212" s="16" t="inlineStr">
        <is>
          <t>justifié</t>
        </is>
      </c>
      <c r="E212" s="6" t="inlineStr">
        <is>
          <t>catalogue SERYTI</t>
        </is>
      </c>
      <c r="F212" s="6" t="inlineStr">
        <is>
          <t>Le HIRE de HW-CSS relie une déviation de commande sollicitée par la scène (Deceleration command, Steering command, Turn Signal command) au hazard de l'abstract (H1, H2)</t>
        </is>
      </c>
      <c r="G212" s="6" t="inlineStr">
        <is>
          <t>H1 Side collision, H2 Front collision</t>
        </is>
      </c>
      <c r="H212" s="6" t="inlineStr">
        <is>
          <t>Brake Lights command, Deceleration command, Hazard Lights command, Steering command, Turn Signal command</t>
        </is>
      </c>
      <c r="I212" s="6" t="n">
        <v>21</v>
      </c>
      <c r="J212" s="6" t="inlineStr">
        <is>
          <t>HW_ Controlled Stop on Shoulder_Unintended Steering_04
HW_ Controlled Stop on Shoulder_Unintended Steering_05
HW_ Controlled Stop On Shoulder_No Turn Signal_01
HW_ Controlled Stop on Shoulder_Excessive Steering_01
HW_ Controlled Stop on Shoulder_Excessive Steering_02
HW_ Controlled Stop on Shoulder_Insufficient Steering_01
HW_ Controlled Stop on Shoulder_Insufficient Steering_02
HW_ Controlled Stop on Shoulder_No Deceleration_01
HW_ Controlled Stop on Shoulder_No Deceleration_03
HW_ Controlled Stop on Shoulder_No Steering_01</t>
        </is>
      </c>
      <c r="K212" s="6" t="inlineStr">
        <is>
          <t>HFS-001, HFS-003, HFS-004</t>
        </is>
      </c>
      <c r="L212" s="6" t="inlineStr">
        <is>
          <t>[Out-of-ODD] Disabled / stopped vehicle in lane or shoulder</t>
        </is>
      </c>
      <c r="M212" s="6" t="inlineStr"/>
    </row>
    <row r="213">
      <c r="A213" s="6" t="inlineStr">
        <is>
          <t>FB-04</t>
        </is>
      </c>
      <c r="B213" s="6" t="inlineStr">
        <is>
          <t>Arrêt en voie avec un suiveur rapide</t>
        </is>
      </c>
      <c r="C213" s="6" t="inlineStr">
        <is>
          <t>HW-ESL</t>
        </is>
      </c>
      <c r="D213" s="16" t="inlineStr">
        <is>
          <t>justifié</t>
        </is>
      </c>
      <c r="E213" s="6" t="inlineStr">
        <is>
          <t>catalogue SERYTI</t>
        </is>
      </c>
      <c r="F213" s="6" t="inlineStr">
        <is>
          <t>Le HIRE de HW-ESL relie une déviation de commande sollicitée par la scène (Acceleration command, Deceleration command, Hazard Lights command) au hazard de l'abstract (H3)</t>
        </is>
      </c>
      <c r="G213" s="6" t="inlineStr">
        <is>
          <t>H3 Rear-end by follower</t>
        </is>
      </c>
      <c r="H213" s="6" t="inlineStr">
        <is>
          <t>Acceleration command, Brake Lights command, Deceleration command, Hazard Lights command</t>
        </is>
      </c>
      <c r="I213" s="6" t="n">
        <v>10</v>
      </c>
      <c r="J213" s="6" t="inlineStr">
        <is>
          <t>HW_ Emergency Stop in Lane_Excessive Deceleration_01
HW_ Emergency Stop in Lane_Excessive Deceleration_03
HW_ Emergency Stop in Lane_Hazard Lights too late_01
HW_ Emergency Stop in Lane_Hazard Lights too late_02
HW_ Emergency Stop in Lane_Hazard Lights too late_03
HW_ Emergency Stop in Lane_No Acceleration_01
HW_ Emergency Stop in Lane_Unintended Deceleration_01
HW_ Emergency Stop in Lane_Unintended Deceleration_03
HW_ Stop in Lane_Deceleration for too long / stuck_01
HW_ Stop in Lane_Unintended Deceleration_01</t>
        </is>
      </c>
      <c r="K213" s="6" t="inlineStr">
        <is>
          <t>HFS-016, HFS-045</t>
        </is>
      </c>
      <c r="L213" s="6" t="inlineStr"/>
      <c r="M213" s="6" t="inlineStr"/>
    </row>
    <row r="214">
      <c r="A214" s="6" t="inlineStr">
        <is>
          <t>FB-05</t>
        </is>
      </c>
      <c r="B214" s="6" t="inlineStr">
        <is>
          <t>Évitement latéral d'urgence, voie adjacente libre</t>
        </is>
      </c>
      <c r="C214" s="6" t="inlineStr">
        <is>
          <t>HW-ELM</t>
        </is>
      </c>
      <c r="D214" s="16" t="inlineStr">
        <is>
          <t>justifié</t>
        </is>
      </c>
      <c r="E214" s="6" t="inlineStr">
        <is>
          <t>catalogue SERYTI</t>
        </is>
      </c>
      <c r="F214" s="6" t="inlineStr">
        <is>
          <t>Le HIRE de HW-ELM relie une déviation de commande sollicitée par la scène (Deceleration command) au hazard de l'abstract (H2, H5)</t>
        </is>
      </c>
      <c r="G214" s="6" t="inlineStr">
        <is>
          <t>H2 Front collision, H5 Loss of stability / control</t>
        </is>
      </c>
      <c r="H214" s="6" t="inlineStr">
        <is>
          <t>Brake Lights command, Deceleration command, Hazard Lights command, Steering command, Turn Signal command</t>
        </is>
      </c>
      <c r="I214" s="6" t="n">
        <v>6</v>
      </c>
      <c r="J214" s="6" t="inlineStr">
        <is>
          <t>HW_ Emergency Lateral Motion_Excessive Deceleration_02
HW_ Emergency Lateral Motion_Insufficient Deceleration_01
HW_ Emergency Lateral Motion_No Deceleration_01
HW_ Emergency Lateral Motion_No Deceleration_02
HW_ Emergency Lateral Motion_No Deceleration_03
HW_ Emergency Lateral Motion_Unintended Deceleration_02</t>
        </is>
      </c>
      <c r="K214" s="6" t="inlineStr">
        <is>
          <t>HFS-009, HFS-012</t>
        </is>
      </c>
      <c r="L214" s="6" t="inlineStr"/>
      <c r="M214" s="6" t="inlineStr">
        <is>
          <t>[Out-of-ODD] Disabled / stopped vehicle in lane or shoulder, Foreign Object Debris (FOD) in lane, [Out-of-ODD] Tire debris / blown tire / lost cargo, [Out-of-ODD] Sudden object intrusion</t>
        </is>
      </c>
    </row>
    <row r="215">
      <c r="A215" s="6" t="inlineStr">
        <is>
          <t>FB-06</t>
        </is>
      </c>
      <c r="B215" s="6" t="inlineStr">
        <is>
          <t>Évitement latéral d'urgence, voie adjacente occupée</t>
        </is>
      </c>
      <c r="C215" s="6" t="inlineStr">
        <is>
          <t>HW-ELM</t>
        </is>
      </c>
      <c r="D215" s="16" t="inlineStr">
        <is>
          <t>justifié</t>
        </is>
      </c>
      <c r="E215" s="6" t="inlineStr">
        <is>
          <t>catalogue SERYTI</t>
        </is>
      </c>
      <c r="F215" s="6" t="inlineStr">
        <is>
          <t>Le HIRE de HW-ELM relie une déviation de commande sollicitée par la scène (Deceleration command, Steering command) au hazard de l'abstract (H1, H2)</t>
        </is>
      </c>
      <c r="G215" s="6" t="inlineStr">
        <is>
          <t>H1 Side collision, H2 Front collision</t>
        </is>
      </c>
      <c r="H215" s="6" t="inlineStr">
        <is>
          <t>Brake Lights command, Deceleration command, Hazard Lights command, Steering command, Turn Signal command</t>
        </is>
      </c>
      <c r="I215" s="6" t="n">
        <v>14</v>
      </c>
      <c r="J215" s="6" t="inlineStr">
        <is>
          <t>HW_ Emergency Lateral Motion_Excessive Steering_01
HW_ Emergency Lateral Motion_Excessive Steering_02
HW_ Emergency Lateral Motion_Insufficient Steering_01
HW_ Emergency Lateral Motion_Insufficient Steering_02
HW_ Emergency Lateral Motion_No Deceleration_01
HW_ Emergency Lateral Motion_No Deceleration_03
HW_ Emergency Lateral Motion_No Steering_01
HW_ Emergency Lateral Motion_No Steering_02
HW_ Emergency Lateral Motion_Steering for too long / stuck_01
HW_ Emergency Lateral Motion_Steering for too long / stuck_02</t>
        </is>
      </c>
      <c r="K215" s="6" t="inlineStr">
        <is>
          <t>HFS-008, HFS-009</t>
        </is>
      </c>
      <c r="L215" s="6" t="inlineStr"/>
      <c r="M215" s="6" t="inlineStr">
        <is>
          <t>[Out-of-ODD] Disabled / stopped vehicle in lane or shoulder, Foreign Object Debris (FOD) in lane, [Out-of-ODD] Tire debris / blown tire / lost cargo, [Out-of-ODD] Sudden object intrusion</t>
        </is>
      </c>
    </row>
    <row r="216">
      <c r="A216" s="6" t="inlineStr">
        <is>
          <t>FB-07</t>
        </is>
      </c>
      <c r="B216" s="6" t="inlineStr">
        <is>
          <t>Commande d'arrêt en voie à distance (HICD)</t>
        </is>
      </c>
      <c r="C216" s="6" t="inlineStr">
        <is>
          <t>HW-ESL</t>
        </is>
      </c>
      <c r="D216" s="16" t="inlineStr">
        <is>
          <t>justifié</t>
        </is>
      </c>
      <c r="E216" s="6" t="inlineStr">
        <is>
          <t>catalogue SERYTI</t>
        </is>
      </c>
      <c r="F216" s="6" t="inlineStr">
        <is>
          <t>Le HIRE de HW-ESL relie une déviation de commande sollicitée par la scène (Acceleration command, Deceleration command, Hazard Lights command) au hazard de l'abstract (H3)</t>
        </is>
      </c>
      <c r="G216" s="6" t="inlineStr">
        <is>
          <t>H3 Rear-end by follower</t>
        </is>
      </c>
      <c r="H216" s="6" t="inlineStr">
        <is>
          <t>Acceleration command, Brake Lights command, Deceleration command, Hazard Lights command</t>
        </is>
      </c>
      <c r="I216" s="6" t="n">
        <v>10</v>
      </c>
      <c r="J216" s="6" t="inlineStr">
        <is>
          <t>HW_ Emergency Stop in Lane_Excessive Deceleration_01
HW_ Emergency Stop in Lane_Excessive Deceleration_03
HW_ Emergency Stop in Lane_Hazard Lights too late_01
HW_ Emergency Stop in Lane_Hazard Lights too late_02
HW_ Emergency Stop in Lane_Hazard Lights too late_03
HW_ Emergency Stop in Lane_No Acceleration_01
HW_ Emergency Stop in Lane_Unintended Deceleration_01
HW_ Emergency Stop in Lane_Unintended Deceleration_03
HW_ Stop in Lane_Deceleration for too long / stuck_01
HW_ Stop in Lane_Unintended Deceleration_01</t>
        </is>
      </c>
      <c r="K216" s="6" t="inlineStr">
        <is>
          <t>HFS-016, HFS-045</t>
        </is>
      </c>
      <c r="L216" s="6" t="inlineStr"/>
      <c r="M216" s="6" t="inlineStr"/>
    </row>
    <row r="217">
      <c r="A217" s="6" t="inlineStr">
        <is>
          <t>FB-07</t>
        </is>
      </c>
      <c r="B217" s="6" t="inlineStr">
        <is>
          <t>Commande d'arrêt en voie à distance (HICD)</t>
        </is>
      </c>
      <c r="C217" s="6" t="inlineStr">
        <is>
          <t>URB-SIL</t>
        </is>
      </c>
      <c r="D217" s="16" t="inlineStr">
        <is>
          <t>justifié</t>
        </is>
      </c>
      <c r="E217" s="6" t="inlineStr">
        <is>
          <t>catalogue SERYTI</t>
        </is>
      </c>
      <c r="F217" s="6" t="inlineStr">
        <is>
          <t>Le HIRE de URB-SIL relie une déviation de commande sollicitée par la scène (Acceleration command, Brake Lights command, Deceleration command, Hazard Lights command) au hazard de l'abstract (H3)</t>
        </is>
      </c>
      <c r="G217" s="6" t="inlineStr">
        <is>
          <t>H3 Rear-end by follower</t>
        </is>
      </c>
      <c r="H217" s="6" t="inlineStr">
        <is>
          <t>Acceleration command, Brake Lights command, Deceleration command, Hazard Lights command</t>
        </is>
      </c>
      <c r="I217" s="6" t="n">
        <v>7</v>
      </c>
      <c r="J217" s="6" t="inlineStr">
        <is>
          <t>URB_ Stop in Lane_Brake Lights too late_01
URB_ Stop in Lane_Excessive Deceleration_01
URB_ Stop in Lane_Hazard Lights too late_01
URB_ Stop in Lane_Hazard Lights too late_02
URB_ Stop in Lane_No Acceleration_01
URB_ Stop in Lane_No Brake Lights_01
URB_ Stop in Lane_Unintended Deceleration_01</t>
        </is>
      </c>
      <c r="K217" s="6" t="inlineStr">
        <is>
          <t>HFS-092</t>
        </is>
      </c>
      <c r="L217" s="6" t="inlineStr"/>
      <c r="M217" s="6" t="inlineStr"/>
    </row>
    <row r="218">
      <c r="A218" s="6" t="inlineStr">
        <is>
          <t>FB-08</t>
        </is>
      </c>
      <c r="B218" s="6" t="inlineStr">
        <is>
          <t>Reprise de la circulation après un arrêt sur l'accotement</t>
        </is>
      </c>
      <c r="C218" s="6" t="inlineStr">
        <is>
          <t>HW-CSS</t>
        </is>
      </c>
      <c r="D218" s="17" t="inlineStr">
        <is>
          <t>justifié indirectement</t>
        </is>
      </c>
      <c r="E218" s="6" t="inlineStr">
        <is>
          <t>catalogue SERYTI</t>
        </is>
      </c>
      <c r="F218" s="6" t="inlineStr">
        <is>
          <t>Abstract pas encore générable : lien fondé sur le hazard seul (H1, H3)</t>
        </is>
      </c>
      <c r="G218" s="6" t="inlineStr">
        <is>
          <t>H1 Side collision, H3 Rear-end by follower</t>
        </is>
      </c>
      <c r="H218" s="6" t="inlineStr"/>
      <c r="I218" s="6" t="n">
        <v>25</v>
      </c>
      <c r="J218" s="6" t="inlineStr">
        <is>
          <t>HW_ Controlled Stop On Shoulder_No Turn Signal_01
HW_ Controlled Stop on Shoulder_Excessive Deceleration_01
HW_ Controlled Stop on Shoulder_Excessive Deceleration_03
HW_ Controlled Stop on Shoulder_Excessive Steering_01
HW_ Controlled Stop on Shoulder_Excessive Steering_02
HW_ Controlled Stop on Shoulder_Hazard Lights too late_01
HW_ Controlled Stop on Shoulder_Hazard Lights too late_02
HW_ Controlled Stop on Shoulder_Hazard Lights too late_03
HW_ Controlled Stop on Shoulder_Insufficient Steering_01
HW_ Controlled Stop on Shoulder_Insufficient Steering_02</t>
        </is>
      </c>
      <c r="K218" s="6" t="inlineStr">
        <is>
          <t>HFS-001, HFS-003, HFS-005</t>
        </is>
      </c>
      <c r="L218" s="6" t="inlineStr"/>
      <c r="M218" s="6" t="inlineStr"/>
    </row>
    <row r="219">
      <c r="A219" s="6" t="inlineStr">
        <is>
          <t>URB-01</t>
        </is>
      </c>
      <c r="B219" s="6" t="inlineStr">
        <is>
          <t>Feu vert, traversée tout droit</t>
        </is>
      </c>
      <c r="C219" s="6" t="inlineStr">
        <is>
          <t>URB-STR</t>
        </is>
      </c>
      <c r="D219" s="17" t="inlineStr">
        <is>
          <t>justifié indirectement</t>
        </is>
      </c>
      <c r="E219" s="6" t="inlineStr">
        <is>
          <t>catalogue SERYTI</t>
        </is>
      </c>
      <c r="F219" s="6" t="inlineStr">
        <is>
          <t>Abstract pas encore générable : lien fondé sur le hazard seul (H2)</t>
        </is>
      </c>
      <c r="G219" s="6" t="inlineStr">
        <is>
          <t>H2 Front collision</t>
        </is>
      </c>
      <c r="H219" s="6" t="inlineStr"/>
      <c r="I219" s="6" t="n">
        <v>12</v>
      </c>
      <c r="J219" s="6" t="inlineStr">
        <is>
          <t>URB_ Going Straight Through Protected / Unprotected Intersection_Excessive Acceleration_01
URB_ Going Straight Through Protected / Unprotected Intersection_Insufficient Deceleration_01
URB_ Going Straight Through Protected / Unprotected Intersection_No Deceleration_01
URB_ Going Straight Through Protected / Unprotected Intersection_Unintended Acceleration_01
URB_ Going Straight through Intersection_Excessive Acceleration_01
URB_ Going Straight through Intersection_Excessive Acceleration_03
URB_ Going Straight through Intersection_Insufficient Deceleration_02
URB_ Going Straight through Intersection_No Deceleration_01
URB_ Going Straight through Intersection_No Deceleration_04
URB_ Going Straight through Intersection_No Steering_02</t>
        </is>
      </c>
      <c r="K219" s="6" t="inlineStr">
        <is>
          <t>HFS-057, HFS-061</t>
        </is>
      </c>
      <c r="L219" s="6" t="inlineStr"/>
      <c r="M219" s="6" t="inlineStr"/>
    </row>
    <row r="220">
      <c r="A220" s="6" t="inlineStr">
        <is>
          <t>URB-02</t>
        </is>
      </c>
      <c r="B220" s="6" t="inlineStr">
        <is>
          <t>Véhicule qui grille le feu rouge</t>
        </is>
      </c>
      <c r="C220" s="6" t="inlineStr">
        <is>
          <t>URB-STR</t>
        </is>
      </c>
      <c r="D220" s="17" t="inlineStr">
        <is>
          <t>justifié indirectement</t>
        </is>
      </c>
      <c r="E220" s="6" t="inlineStr">
        <is>
          <t>catalogue SERYTI</t>
        </is>
      </c>
      <c r="F220" s="6" t="inlineStr">
        <is>
          <t>Abstract pas encore générable : lien fondé sur le hazard seul (H1)</t>
        </is>
      </c>
      <c r="G220" s="6" t="inlineStr">
        <is>
          <t>H1 Side collision</t>
        </is>
      </c>
      <c r="H220" s="6" t="inlineStr"/>
      <c r="I220" s="6" t="n">
        <v>14</v>
      </c>
      <c r="J220" s="6" t="inlineStr">
        <is>
          <t>URB_ Going Straight Through Protected / Unprotected Intersection_Insufficient Steering_01
URB_ Going Straight Through Protected / Unprotected Intersection_No Steering_01
URB_ Going Straight Through Protected / Unprotected Intersection_Steering in opposite direction_01
URB_ Going Straight Through Protected / Unprotected Intersection_Unintended Steering_01
URB_ Going Straight through Intersection_Excessive Steering_01
URB_ Going Straight through Intersection_Excessive Steering_02
URB_ Going Straight through Intersection_Insufficient Steering_01
URB_ Going Straight through Intersection_No Deceleration_02
URB_ Going Straight through Intersection_No Steering_01
URB_ Going Straight through Intersection_Steering for too long / stuck_01</t>
        </is>
      </c>
      <c r="K220" s="6" t="inlineStr">
        <is>
          <t>HFS-056, HFS-060</t>
        </is>
      </c>
      <c r="L220" s="6" t="inlineStr"/>
      <c r="M220" s="6" t="inlineStr"/>
    </row>
    <row r="221">
      <c r="A221" s="6" t="inlineStr">
        <is>
          <t>URB-02</t>
        </is>
      </c>
      <c r="B221" s="6" t="inlineStr">
        <is>
          <t>Véhicule qui grille le feu rouge</t>
        </is>
      </c>
      <c r="C221" s="6" t="inlineStr">
        <is>
          <t>URB-TRN</t>
        </is>
      </c>
      <c r="D221" s="17" t="inlineStr">
        <is>
          <t>justifié indirectement</t>
        </is>
      </c>
      <c r="E221" s="6" t="inlineStr">
        <is>
          <t>catalogue SERYTI</t>
        </is>
      </c>
      <c r="F221" s="6" t="inlineStr">
        <is>
          <t>Abstract pas encore générable : lien fondé sur le hazard seul (H1)</t>
        </is>
      </c>
      <c r="G221" s="6" t="inlineStr">
        <is>
          <t>H1 Side collision</t>
        </is>
      </c>
      <c r="H221" s="6" t="inlineStr"/>
      <c r="I221" s="6" t="n">
        <v>31</v>
      </c>
      <c r="J221" s="6" t="inlineStr">
        <is>
          <t>URB_ Protected / Unprotected Turn At Intersection_Excessive Steering_01
URB_ Protected / Unprotected Turn At Intersection_Insufficient Steering_01
URB_ Protected / Unprotected Turn At Intersection_No Steering_01
URB_ Protected / Unprotected Turn At Intersection_No Turn Signal_01
URB_ Protected / Unprotected Turn At Intersection_Steering in opposite direction_01
URB_ Protected / Unprotected Turn At Intersection_Turn Signal in opposite direction_01
URB_ Protected / Unprotected Turn At Intersection_Turn Signal too late_01
URB_ Protected / Unprotected Turn At Intersection_Unintended Steering_01
URB_ Protected/Unprotected Turn at Intersection_Excessive Steering_01
URB_ Protected/Unprotected Turn at Intersection_Excessive Steering_02</t>
        </is>
      </c>
      <c r="K221" s="6" t="inlineStr">
        <is>
          <t>HFS-080, HFS-084</t>
        </is>
      </c>
      <c r="L221" s="6" t="inlineStr"/>
      <c r="M221" s="6" t="inlineStr"/>
    </row>
    <row r="222">
      <c r="A222" s="6" t="inlineStr">
        <is>
          <t>URB-03</t>
        </is>
      </c>
      <c r="B222" s="6" t="inlineStr">
        <is>
          <t>Stop à 4 voies, ordre d'arrivée ambigu</t>
        </is>
      </c>
      <c r="C222" s="6" t="inlineStr">
        <is>
          <t>URB-STR</t>
        </is>
      </c>
      <c r="D222" s="17" t="inlineStr">
        <is>
          <t>justifié indirectement</t>
        </is>
      </c>
      <c r="E222" s="6" t="inlineStr">
        <is>
          <t>catalogue SERYTI</t>
        </is>
      </c>
      <c r="F222" s="6" t="inlineStr">
        <is>
          <t>Abstract pas encore générable : lien fondé sur le hazard seul (H1)</t>
        </is>
      </c>
      <c r="G222" s="6" t="inlineStr">
        <is>
          <t>H1 Side collision</t>
        </is>
      </c>
      <c r="H222" s="6" t="inlineStr"/>
      <c r="I222" s="6" t="n">
        <v>14</v>
      </c>
      <c r="J222" s="6" t="inlineStr">
        <is>
          <t>URB_ Going Straight Through Protected / Unprotected Intersection_Insufficient Steering_01
URB_ Going Straight Through Protected / Unprotected Intersection_No Steering_01
URB_ Going Straight Through Protected / Unprotected Intersection_Steering in opposite direction_01
URB_ Going Straight Through Protected / Unprotected Intersection_Unintended Steering_01
URB_ Going Straight through Intersection_Excessive Steering_01
URB_ Going Straight through Intersection_Excessive Steering_02
URB_ Going Straight through Intersection_Insufficient Steering_01
URB_ Going Straight through Intersection_No Deceleration_02
URB_ Going Straight through Intersection_No Steering_01
URB_ Going Straight through Intersection_Steering for too long / stuck_01</t>
        </is>
      </c>
      <c r="K222" s="6" t="inlineStr">
        <is>
          <t>HFS-056, HFS-060</t>
        </is>
      </c>
      <c r="L222" s="6" t="inlineStr"/>
      <c r="M222" s="6" t="inlineStr"/>
    </row>
    <row r="223">
      <c r="A223" s="6" t="inlineStr">
        <is>
          <t>URB-03</t>
        </is>
      </c>
      <c r="B223" s="6" t="inlineStr">
        <is>
          <t>Stop à 4 voies, ordre d'arrivée ambigu</t>
        </is>
      </c>
      <c r="C223" s="6" t="inlineStr">
        <is>
          <t>URB-TRN</t>
        </is>
      </c>
      <c r="D223" s="17" t="inlineStr">
        <is>
          <t>justifié indirectement</t>
        </is>
      </c>
      <c r="E223" s="6" t="inlineStr">
        <is>
          <t>catalogue SERYTI</t>
        </is>
      </c>
      <c r="F223" s="6" t="inlineStr">
        <is>
          <t>Abstract pas encore générable : lien fondé sur le hazard seul (H1)</t>
        </is>
      </c>
      <c r="G223" s="6" t="inlineStr">
        <is>
          <t>H1 Side collision</t>
        </is>
      </c>
      <c r="H223" s="6" t="inlineStr"/>
      <c r="I223" s="6" t="n">
        <v>31</v>
      </c>
      <c r="J223" s="6" t="inlineStr">
        <is>
          <t>URB_ Protected / Unprotected Turn At Intersection_Excessive Steering_01
URB_ Protected / Unprotected Turn At Intersection_Insufficient Steering_01
URB_ Protected / Unprotected Turn At Intersection_No Steering_01
URB_ Protected / Unprotected Turn At Intersection_No Turn Signal_01
URB_ Protected / Unprotected Turn At Intersection_Steering in opposite direction_01
URB_ Protected / Unprotected Turn At Intersection_Turn Signal in opposite direction_01
URB_ Protected / Unprotected Turn At Intersection_Turn Signal too late_01
URB_ Protected / Unprotected Turn At Intersection_Unintended Steering_01
URB_ Protected/Unprotected Turn at Intersection_Excessive Steering_01
URB_ Protected/Unprotected Turn at Intersection_Excessive Steering_02</t>
        </is>
      </c>
      <c r="K223" s="6" t="inlineStr">
        <is>
          <t>HFS-080, HFS-084</t>
        </is>
      </c>
      <c r="L223" s="6" t="inlineStr"/>
      <c r="M223" s="6" t="inlineStr"/>
    </row>
    <row r="224">
      <c r="A224" s="6" t="inlineStr">
        <is>
          <t>URB-04</t>
        </is>
      </c>
      <c r="B224" s="6" t="inlineStr">
        <is>
          <t>Tourne-à-gauche non protégé, trafic en face</t>
        </is>
      </c>
      <c r="C224" s="6" t="inlineStr">
        <is>
          <t>URB-TRN</t>
        </is>
      </c>
      <c r="D224" s="17" t="inlineStr">
        <is>
          <t>justifié indirectement</t>
        </is>
      </c>
      <c r="E224" s="6" t="inlineStr">
        <is>
          <t>catalogue SERYTI</t>
        </is>
      </c>
      <c r="F224" s="6" t="inlineStr">
        <is>
          <t>Abstract pas encore générable : lien fondé sur le hazard seul (H1)</t>
        </is>
      </c>
      <c r="G224" s="6" t="inlineStr">
        <is>
          <t>H1 Side collision</t>
        </is>
      </c>
      <c r="H224" s="6" t="inlineStr"/>
      <c r="I224" s="6" t="n">
        <v>31</v>
      </c>
      <c r="J224" s="6" t="inlineStr">
        <is>
          <t>URB_ Protected / Unprotected Turn At Intersection_Excessive Steering_01
URB_ Protected / Unprotected Turn At Intersection_Insufficient Steering_01
URB_ Protected / Unprotected Turn At Intersection_No Steering_01
URB_ Protected / Unprotected Turn At Intersection_No Turn Signal_01
URB_ Protected / Unprotected Turn At Intersection_Steering in opposite direction_01
URB_ Protected / Unprotected Turn At Intersection_Turn Signal in opposite direction_01
URB_ Protected / Unprotected Turn At Intersection_Turn Signal too late_01
URB_ Protected / Unprotected Turn At Intersection_Unintended Steering_01
URB_ Protected/Unprotected Turn at Intersection_Excessive Steering_01
URB_ Protected/Unprotected Turn at Intersection_Excessive Steering_02</t>
        </is>
      </c>
      <c r="K224" s="6" t="inlineStr">
        <is>
          <t>HFS-080, HFS-084</t>
        </is>
      </c>
      <c r="L224" s="6" t="inlineStr"/>
      <c r="M224" s="6" t="inlineStr"/>
    </row>
    <row r="225">
      <c r="A225" s="6" t="inlineStr">
        <is>
          <t>URB-05</t>
        </is>
      </c>
      <c r="B225" s="6" t="inlineStr">
        <is>
          <t>Tourne-à-droite avec piéton sur le passage</t>
        </is>
      </c>
      <c r="C225" s="6" t="inlineStr">
        <is>
          <t>URB-TRN</t>
        </is>
      </c>
      <c r="D225" s="17" t="inlineStr">
        <is>
          <t>justifié indirectement</t>
        </is>
      </c>
      <c r="E225" s="6" t="inlineStr">
        <is>
          <t>catalogue SERYTI</t>
        </is>
      </c>
      <c r="F225" s="6" t="inlineStr">
        <is>
          <t>Abstract pas encore générable : lien fondé sur le hazard seul (H2)</t>
        </is>
      </c>
      <c r="G225" s="6" t="inlineStr">
        <is>
          <t>H2 Front collision</t>
        </is>
      </c>
      <c r="H225" s="6" t="inlineStr"/>
      <c r="I225" s="6" t="n">
        <v>12</v>
      </c>
      <c r="J225" s="6" t="inlineStr">
        <is>
          <t>URB_ Protected / Unprotected Turn At Intersection_Excessive Acceleration_01
URB_ Protected / Unprotected Turn At Intersection_Insufficient Deceleration_01
URB_ Protected / Unprotected Turn At Intersection_No Deceleration_01
URB_ Protected / Unprotected Turn At Intersection_Unintended Acceleration_01
URB_ Protected/Unprotected Turn at Intersection_Excessive Acceleration_01
URB_ Protected/Unprotected Turn at Intersection_Excessive Acceleration_03
URB_ Protected/Unprotected Turn at Intersection_Insufficient Deceleration_02
URB_ Protected/Unprotected Turn at Intersection_No Deceleration_01
URB_ Protected/Unprotected Turn at Intersection_No Deceleration_04
URB_ Protected/Unprotected Turn at Intersection_No Steering_02</t>
        </is>
      </c>
      <c r="K225" s="6" t="inlineStr">
        <is>
          <t>HFS-081, HFS-085</t>
        </is>
      </c>
      <c r="L225" s="6" t="inlineStr"/>
      <c r="M225" s="6" t="inlineStr"/>
    </row>
    <row r="226">
      <c r="A226" s="6" t="inlineStr">
        <is>
          <t>URB-05</t>
        </is>
      </c>
      <c r="B226" s="6" t="inlineStr">
        <is>
          <t>Tourne-à-droite avec piéton sur le passage</t>
        </is>
      </c>
      <c r="C226" s="6" t="inlineStr">
        <is>
          <t>URB-XWK</t>
        </is>
      </c>
      <c r="D226" s="17" t="inlineStr">
        <is>
          <t>justifié indirectement</t>
        </is>
      </c>
      <c r="E226" s="6" t="inlineStr">
        <is>
          <t>catalogue SERYTI</t>
        </is>
      </c>
      <c r="F226" s="6" t="inlineStr">
        <is>
          <t>Abstract pas encore générable : lien fondé sur le hazard seul (H2)</t>
        </is>
      </c>
      <c r="G226" s="6" t="inlineStr">
        <is>
          <t>H2 Front collision</t>
        </is>
      </c>
      <c r="H226" s="6" t="inlineStr"/>
      <c r="I226" s="6" t="n">
        <v>8</v>
      </c>
      <c r="J226" s="6" t="inlineStr">
        <is>
          <t>URB_ Crosswalk Yield_Excessive Acceleration_01
URB_ Crosswalk Yield_Excessive Acceleration_03
URB_ Crosswalk Yield_Insufficient Deceleration_02
URB_ Crosswalk Yield_No Deceleration_01
URB_ Crosswalk Yield_No Deceleration_04
URB_ Crosswalk Yield_No Steering_02
URB_ Crosswalk Yield_Unintended Acceleration_01
URB_ Crosswalk Yield_Unintended Acceleration_03</t>
        </is>
      </c>
      <c r="K226" s="6" t="inlineStr">
        <is>
          <t>HFS-047</t>
        </is>
      </c>
      <c r="L226" s="6" t="inlineStr"/>
      <c r="M226" s="6" t="inlineStr"/>
    </row>
    <row r="227">
      <c r="A227" s="6" t="inlineStr">
        <is>
          <t>URB-06</t>
        </is>
      </c>
      <c r="B227" s="6" t="inlineStr">
        <is>
          <t>Tourne-à-droite : remorque qui coupe le trottoir, cycliste à droite</t>
        </is>
      </c>
      <c r="C227" s="6" t="inlineStr">
        <is>
          <t>URB-TRN</t>
        </is>
      </c>
      <c r="D227" s="17" t="inlineStr">
        <is>
          <t>justifié indirectement</t>
        </is>
      </c>
      <c r="E227" s="6" t="inlineStr">
        <is>
          <t>catalogue SERYTI</t>
        </is>
      </c>
      <c r="F227" s="6" t="inlineStr">
        <is>
          <t>Abstract pas encore générable : lien fondé sur le hazard seul (H1)</t>
        </is>
      </c>
      <c r="G227" s="6" t="inlineStr">
        <is>
          <t>H1 Side collision</t>
        </is>
      </c>
      <c r="H227" s="6" t="inlineStr"/>
      <c r="I227" s="6" t="n">
        <v>31</v>
      </c>
      <c r="J227" s="6" t="inlineStr">
        <is>
          <t>URB_ Protected / Unprotected Turn At Intersection_Excessive Steering_01
URB_ Protected / Unprotected Turn At Intersection_Insufficient Steering_01
URB_ Protected / Unprotected Turn At Intersection_No Steering_01
URB_ Protected / Unprotected Turn At Intersection_No Turn Signal_01
URB_ Protected / Unprotected Turn At Intersection_Steering in opposite direction_01
URB_ Protected / Unprotected Turn At Intersection_Turn Signal in opposite direction_01
URB_ Protected / Unprotected Turn At Intersection_Turn Signal too late_01
URB_ Protected / Unprotected Turn At Intersection_Unintended Steering_01
URB_ Protected/Unprotected Turn at Intersection_Excessive Steering_01
URB_ Protected/Unprotected Turn at Intersection_Excessive Steering_02</t>
        </is>
      </c>
      <c r="K227" s="6" t="inlineStr">
        <is>
          <t>HFS-080, HFS-084</t>
        </is>
      </c>
      <c r="L227" s="6" t="inlineStr"/>
      <c r="M227" s="6" t="inlineStr"/>
    </row>
    <row r="228">
      <c r="A228" s="6" t="inlineStr">
        <is>
          <t>URB-07</t>
        </is>
      </c>
      <c r="B228" s="6" t="inlineStr">
        <is>
          <t>Trafic transversal à une intersection sans feux</t>
        </is>
      </c>
      <c r="C228" s="6" t="inlineStr">
        <is>
          <t>URB-STR</t>
        </is>
      </c>
      <c r="D228" s="17" t="inlineStr">
        <is>
          <t>justifié indirectement</t>
        </is>
      </c>
      <c r="E228" s="6" t="inlineStr">
        <is>
          <t>catalogue SERYTI</t>
        </is>
      </c>
      <c r="F228" s="6" t="inlineStr">
        <is>
          <t>Abstract pas encore générable : lien fondé sur le hazard seul (H1)</t>
        </is>
      </c>
      <c r="G228" s="6" t="inlineStr">
        <is>
          <t>H1 Side collision</t>
        </is>
      </c>
      <c r="H228" s="6" t="inlineStr"/>
      <c r="I228" s="6" t="n">
        <v>14</v>
      </c>
      <c r="J228" s="6" t="inlineStr">
        <is>
          <t>URB_ Going Straight Through Protected / Unprotected Intersection_Insufficient Steering_01
URB_ Going Straight Through Protected / Unprotected Intersection_No Steering_01
URB_ Going Straight Through Protected / Unprotected Intersection_Steering in opposite direction_01
URB_ Going Straight Through Protected / Unprotected Intersection_Unintended Steering_01
URB_ Going Straight through Intersection_Excessive Steering_01
URB_ Going Straight through Intersection_Excessive Steering_02
URB_ Going Straight through Intersection_Insufficient Steering_01
URB_ Going Straight through Intersection_No Deceleration_02
URB_ Going Straight through Intersection_No Steering_01
URB_ Going Straight through Intersection_Steering for too long / stuck_01</t>
        </is>
      </c>
      <c r="K228" s="6" t="inlineStr">
        <is>
          <t>HFS-056, HFS-060</t>
        </is>
      </c>
      <c r="L228" s="6" t="inlineStr"/>
      <c r="M228" s="6" t="inlineStr"/>
    </row>
    <row r="229">
      <c r="A229" s="6" t="inlineStr">
        <is>
          <t>URB-08</t>
        </is>
      </c>
      <c r="B229" s="6" t="inlineStr">
        <is>
          <t>Piéton qui attend ou s'engage sur un passage</t>
        </is>
      </c>
      <c r="C229" s="6" t="inlineStr">
        <is>
          <t>URB-XWK</t>
        </is>
      </c>
      <c r="D229" s="17" t="inlineStr">
        <is>
          <t>justifié indirectement</t>
        </is>
      </c>
      <c r="E229" s="6" t="inlineStr">
        <is>
          <t>catalogue SERYTI</t>
        </is>
      </c>
      <c r="F229" s="6" t="inlineStr">
        <is>
          <t>Abstract pas encore générable : lien fondé sur le hazard seul (H2)</t>
        </is>
      </c>
      <c r="G229" s="6" t="inlineStr">
        <is>
          <t>H2 Front collision</t>
        </is>
      </c>
      <c r="H229" s="6" t="inlineStr"/>
      <c r="I229" s="6" t="n">
        <v>8</v>
      </c>
      <c r="J229" s="6" t="inlineStr">
        <is>
          <t>URB_ Crosswalk Yield_Excessive Acceleration_01
URB_ Crosswalk Yield_Excessive Acceleration_03
URB_ Crosswalk Yield_Insufficient Deceleration_02
URB_ Crosswalk Yield_No Deceleration_01
URB_ Crosswalk Yield_No Deceleration_04
URB_ Crosswalk Yield_No Steering_02
URB_ Crosswalk Yield_Unintended Acceleration_01
URB_ Crosswalk Yield_Unintended Acceleration_03</t>
        </is>
      </c>
      <c r="K229" s="6" t="inlineStr">
        <is>
          <t>HFS-047</t>
        </is>
      </c>
      <c r="L229" s="6" t="inlineStr"/>
      <c r="M229" s="6" t="inlineStr"/>
    </row>
    <row r="230">
      <c r="A230" s="6" t="inlineStr">
        <is>
          <t>URB-09</t>
        </is>
      </c>
      <c r="B230" s="6" t="inlineStr">
        <is>
          <t>Piéton masqué par un véhicule garé</t>
        </is>
      </c>
      <c r="C230" s="6" t="inlineStr">
        <is>
          <t>URB-XWK</t>
        </is>
      </c>
      <c r="D230" s="17" t="inlineStr">
        <is>
          <t>justifié indirectement</t>
        </is>
      </c>
      <c r="E230" s="6" t="inlineStr">
        <is>
          <t>catalogue SERYTI</t>
        </is>
      </c>
      <c r="F230" s="6" t="inlineStr">
        <is>
          <t>Abstract pas encore générable : lien fondé sur le hazard seul (H2)</t>
        </is>
      </c>
      <c r="G230" s="6" t="inlineStr">
        <is>
          <t>H2 Front collision</t>
        </is>
      </c>
      <c r="H230" s="6" t="inlineStr"/>
      <c r="I230" s="6" t="n">
        <v>8</v>
      </c>
      <c r="J230" s="6" t="inlineStr">
        <is>
          <t>URB_ Crosswalk Yield_Excessive Acceleration_01
URB_ Crosswalk Yield_Excessive Acceleration_03
URB_ Crosswalk Yield_Insufficient Deceleration_02
URB_ Crosswalk Yield_No Deceleration_01
URB_ Crosswalk Yield_No Deceleration_04
URB_ Crosswalk Yield_No Steering_02
URB_ Crosswalk Yield_Unintended Acceleration_01
URB_ Crosswalk Yield_Unintended Acceleration_03</t>
        </is>
      </c>
      <c r="K230" s="6" t="inlineStr">
        <is>
          <t>HFS-047</t>
        </is>
      </c>
      <c r="L230" s="6" t="inlineStr"/>
      <c r="M230" s="6" t="inlineStr"/>
    </row>
    <row r="231">
      <c r="A231" s="6" t="inlineStr">
        <is>
          <t>URB-09</t>
        </is>
      </c>
      <c r="B231" s="6" t="inlineStr">
        <is>
          <t>Piéton masqué par un véhicule garé</t>
        </is>
      </c>
      <c r="C231" s="6" t="inlineStr">
        <is>
          <t>URB-CRU</t>
        </is>
      </c>
      <c r="D231" s="17" t="inlineStr">
        <is>
          <t>justifié indirectement</t>
        </is>
      </c>
      <c r="E231" s="6" t="inlineStr">
        <is>
          <t>catalogue SERYTI</t>
        </is>
      </c>
      <c r="F231" s="6" t="inlineStr">
        <is>
          <t>Abstract pas encore générable : lien fondé sur le hazard seul (H2)</t>
        </is>
      </c>
      <c r="G231" s="6" t="inlineStr">
        <is>
          <t>H2 Front collision</t>
        </is>
      </c>
      <c r="H231" s="6" t="inlineStr"/>
      <c r="I231" s="6" t="n">
        <v>11</v>
      </c>
      <c r="J231" s="6" t="inlineStr">
        <is>
          <t>URB_ Lane-Centered Cruise_Excessive Acceleration_01
URB_ Lane-Centered Cruise_Excessive Acceleration_02
URB_ Lane-Centered Cruise_Excessive Acceleration_04
URB_ Lane-Centered Cruise_Insufficient Deceleration_01
URB_ Lane-Centered Cruise_Insufficient Deceleration_03
URB_ Lane-Centered Cruise_No Deceleration_01
URB_ Lane-Centered Cruise_No Deceleration_04
URB_ Lane-Centered Cruise_No Steering_02
URB_ Lane-Centered Cruise_Unintended Acceleration_01
URB_ Lane-Centered Cruise_Unintended Acceleration_02</t>
        </is>
      </c>
      <c r="K231" s="6" t="inlineStr">
        <is>
          <t>HFS-076</t>
        </is>
      </c>
      <c r="L231" s="6" t="inlineStr"/>
      <c r="M231" s="6" t="inlineStr"/>
    </row>
    <row r="232">
      <c r="A232" s="6" t="inlineStr">
        <is>
          <t>URB-10</t>
        </is>
      </c>
      <c r="B232" s="6" t="inlineStr">
        <is>
          <t>Cycliste dans la voie</t>
        </is>
      </c>
      <c r="C232" s="6" t="inlineStr">
        <is>
          <t>URB-CRU</t>
        </is>
      </c>
      <c r="D232" s="16" t="inlineStr">
        <is>
          <t>justifié</t>
        </is>
      </c>
      <c r="E232" s="6" t="inlineStr">
        <is>
          <t>catalogue SERYTI</t>
        </is>
      </c>
      <c r="F232" s="6" t="inlineStr">
        <is>
          <t>Le HIRE de URB-CRU relie une déviation de commande sollicitée par la scène (Acceleration command, Deceleration command) au hazard de l'abstract (H2)</t>
        </is>
      </c>
      <c r="G232" s="6" t="inlineStr">
        <is>
          <t>H2 Front collision</t>
        </is>
      </c>
      <c r="H232" s="6" t="inlineStr">
        <is>
          <t>Acceleration command, Deceleration command</t>
        </is>
      </c>
      <c r="I232" s="6" t="n">
        <v>10</v>
      </c>
      <c r="J232" s="6" t="inlineStr">
        <is>
          <t>URB_ Lane-Centered Cruise_Excessive Acceleration_01
URB_ Lane-Centered Cruise_Excessive Acceleration_02
URB_ Lane-Centered Cruise_Excessive Acceleration_04
URB_ Lane-Centered Cruise_Insufficient Deceleration_01
URB_ Lane-Centered Cruise_Insufficient Deceleration_03
URB_ Lane-Centered Cruise_No Deceleration_01
URB_ Lane-Centered Cruise_No Deceleration_04
URB_ Lane-Centered Cruise_Unintended Acceleration_01
URB_ Lane-Centered Cruise_Unintended Acceleration_02
URB_ Lane-Centered Cruise_Unintended Acceleration_04</t>
        </is>
      </c>
      <c r="K232" s="6" t="inlineStr">
        <is>
          <t>HFS-076</t>
        </is>
      </c>
      <c r="L232" s="6" t="inlineStr"/>
      <c r="M232" s="6" t="inlineStr">
        <is>
          <t>VRU present</t>
        </is>
      </c>
    </row>
    <row r="233">
      <c r="A233" s="6" t="inlineStr">
        <is>
          <t>URB-10</t>
        </is>
      </c>
      <c r="B233" s="6" t="inlineStr">
        <is>
          <t>Cycliste dans la voie</t>
        </is>
      </c>
      <c r="C233" s="6" t="inlineStr">
        <is>
          <t>URB-FOL</t>
        </is>
      </c>
      <c r="D233" s="16" t="inlineStr">
        <is>
          <t>justifié</t>
        </is>
      </c>
      <c r="E233" s="6" t="inlineStr">
        <is>
          <t>catalogue SERYTI</t>
        </is>
      </c>
      <c r="F233" s="6" t="inlineStr">
        <is>
          <t>Le HIRE de URB-FOL relie une déviation de commande sollicitée par la scène (Acceleration command, Deceleration command) au hazard de l'abstract (H2)</t>
        </is>
      </c>
      <c r="G233" s="6" t="inlineStr">
        <is>
          <t>H2 Front collision</t>
        </is>
      </c>
      <c r="H233" s="6" t="inlineStr">
        <is>
          <t>Acceleration command, Deceleration command</t>
        </is>
      </c>
      <c r="I233" s="6" t="n">
        <v>10</v>
      </c>
      <c r="J233" s="6" t="inlineStr">
        <is>
          <t>URB_ Lane-Centered Adaptive Follow_Excessive Acceleration_01
URB_ Lane-Centered Adaptive Follow_Excessive Acceleration_02
URB_ Lane-Centered Adaptive Follow_Excessive Acceleration_04
URB_ Lane-Centered Adaptive Follow_Insufficient Deceleration_01
URB_ Lane-Centered Adaptive Follow_Insufficient Deceleration_03
URB_ Lane-Centered Adaptive Follow_No Deceleration_01
URB_ Lane-Centered Adaptive Follow_No Deceleration_04
URB_ Lane-Centered Adaptive Follow_Unintended Acceleration_01
URB_ Lane-Centered Adaptive Follow_Unintended Acceleration_02
URB_ Lane-Centered Adaptive Follow_Unintended Acceleration_04</t>
        </is>
      </c>
      <c r="K233" s="6" t="inlineStr">
        <is>
          <t>HFS-071</t>
        </is>
      </c>
      <c r="L233" s="6" t="inlineStr"/>
      <c r="M233" s="6" t="inlineStr">
        <is>
          <t>VRU present</t>
        </is>
      </c>
    </row>
    <row r="234">
      <c r="A234" s="6" t="inlineStr">
        <is>
          <t>URB-10</t>
        </is>
      </c>
      <c r="B234" s="6" t="inlineStr">
        <is>
          <t>Cycliste dans la voie</t>
        </is>
      </c>
      <c r="C234" s="6" t="inlineStr">
        <is>
          <t>URB-LC</t>
        </is>
      </c>
      <c r="D234" s="16" t="inlineStr">
        <is>
          <t>justifié</t>
        </is>
      </c>
      <c r="E234" s="6" t="inlineStr">
        <is>
          <t>catalogue SERYTI</t>
        </is>
      </c>
      <c r="F234" s="6" t="inlineStr">
        <is>
          <t>Le HIRE de URB-LC relie une déviation de commande sollicitée par la scène (Acceleration command, Deceleration command, Steering command) au hazard de l'abstract (H2)</t>
        </is>
      </c>
      <c r="G234" s="6" t="inlineStr">
        <is>
          <t>H2 Front collision</t>
        </is>
      </c>
      <c r="H234" s="6" t="inlineStr">
        <is>
          <t>Acceleration command, Deceleration command, Steering command, Turn Signal command</t>
        </is>
      </c>
      <c r="I234" s="6" t="n">
        <v>11</v>
      </c>
      <c r="J234" s="6" t="inlineStr">
        <is>
          <t>URB_ Lane Changes / Overtaking_Excessive Acceleration_01
URB_ Lane Changes / Overtaking_Excessive Acceleration_02
URB_ Lane Changes / Overtaking_Excessive Acceleration_04
URB_ Lane Changes / Overtaking_Insufficient Deceleration_01
URB_ Lane Changes / Overtaking_Insufficient Deceleration_03
URB_ Lane Changes / Overtaking_No Deceleration_01
URB_ Lane Changes / Overtaking_No Deceleration_04
URB_ Lane Changes / Overtaking_No Steering_02
URB_ Lane Changes / Overtaking_Unintended Acceleration_01
URB_ Lane Changes / Overtaking_Unintended Acceleration_02</t>
        </is>
      </c>
      <c r="K234" s="6" t="inlineStr">
        <is>
          <t>HFS-066</t>
        </is>
      </c>
      <c r="L234" s="6" t="inlineStr"/>
      <c r="M234" s="6" t="inlineStr">
        <is>
          <t>VRU present</t>
        </is>
      </c>
    </row>
    <row r="235">
      <c r="A235" s="6" t="inlineStr">
        <is>
          <t>URB-11</t>
        </is>
      </c>
      <c r="B235" s="6" t="inlineStr">
        <is>
          <t>Véhicule qui sort d'une place de stationnement</t>
        </is>
      </c>
      <c r="C235" s="6" t="inlineStr">
        <is>
          <t>URB-CRU</t>
        </is>
      </c>
      <c r="D235" s="16" t="inlineStr">
        <is>
          <t>justifié</t>
        </is>
      </c>
      <c r="E235" s="6" t="inlineStr">
        <is>
          <t>catalogue SERYTI</t>
        </is>
      </c>
      <c r="F235" s="6" t="inlineStr">
        <is>
          <t>Le HIRE de URB-CRU relie une déviation de commande sollicitée par la scène (Deceleration command, Steering command) au hazard de l'abstract (H2)</t>
        </is>
      </c>
      <c r="G235" s="6" t="inlineStr">
        <is>
          <t>H2 Front collision</t>
        </is>
      </c>
      <c r="H235" s="6" t="inlineStr">
        <is>
          <t>Deceleration command, Steering command</t>
        </is>
      </c>
      <c r="I235" s="6" t="n">
        <v>5</v>
      </c>
      <c r="J235" s="6" t="inlineStr">
        <is>
          <t>URB_ Lane-Centered Cruise_Insufficient Deceleration_01
URB_ Lane-Centered Cruise_Insufficient Deceleration_03
URB_ Lane-Centered Cruise_No Deceleration_01
URB_ Lane-Centered Cruise_No Deceleration_04
URB_ Lane-Centered Cruise_No Steering_02</t>
        </is>
      </c>
      <c r="K235" s="6" t="inlineStr">
        <is>
          <t>HFS-076</t>
        </is>
      </c>
      <c r="L235" s="6" t="inlineStr"/>
      <c r="M235" s="6" t="inlineStr">
        <is>
          <t>Vehicles — dense traffic / cut-in</t>
        </is>
      </c>
    </row>
    <row r="236">
      <c r="A236" s="6" t="inlineStr">
        <is>
          <t>URB-11</t>
        </is>
      </c>
      <c r="B236" s="6" t="inlineStr">
        <is>
          <t>Véhicule qui sort d'une place de stationnement</t>
        </is>
      </c>
      <c r="C236" s="6" t="inlineStr">
        <is>
          <t>URB-FOL</t>
        </is>
      </c>
      <c r="D236" s="16" t="inlineStr">
        <is>
          <t>justifié</t>
        </is>
      </c>
      <c r="E236" s="6" t="inlineStr">
        <is>
          <t>catalogue SERYTI</t>
        </is>
      </c>
      <c r="F236" s="6" t="inlineStr">
        <is>
          <t>Le HIRE de URB-FOL relie une déviation de commande sollicitée par la scène (Deceleration command, Steering command) au hazard de l'abstract (H2)</t>
        </is>
      </c>
      <c r="G236" s="6" t="inlineStr">
        <is>
          <t>H2 Front collision</t>
        </is>
      </c>
      <c r="H236" s="6" t="inlineStr">
        <is>
          <t>Deceleration command, Steering command</t>
        </is>
      </c>
      <c r="I236" s="6" t="n">
        <v>5</v>
      </c>
      <c r="J236" s="6" t="inlineStr">
        <is>
          <t>URB_ Lane-Centered Adaptive Follow_Insufficient Deceleration_01
URB_ Lane-Centered Adaptive Follow_Insufficient Deceleration_03
URB_ Lane-Centered Adaptive Follow_No Deceleration_01
URB_ Lane-Centered Adaptive Follow_No Deceleration_04
URB_ Lane-Centered Adaptive Follow_No Steering_02</t>
        </is>
      </c>
      <c r="K236" s="6" t="inlineStr">
        <is>
          <t>HFS-071</t>
        </is>
      </c>
      <c r="L236" s="6" t="inlineStr"/>
      <c r="M236" s="6" t="inlineStr">
        <is>
          <t>Vehicles — dense traffic / cut-in</t>
        </is>
      </c>
    </row>
    <row r="237">
      <c r="A237" s="6" t="inlineStr">
        <is>
          <t>URB-12</t>
        </is>
      </c>
      <c r="B237" s="6" t="inlineStr">
        <is>
          <t>Véhicule en double file qui bloque la voie</t>
        </is>
      </c>
      <c r="C237" s="6" t="inlineStr">
        <is>
          <t>URB-LC</t>
        </is>
      </c>
      <c r="D237" s="16" t="inlineStr">
        <is>
          <t>justifié</t>
        </is>
      </c>
      <c r="E237" s="6" t="inlineStr">
        <is>
          <t>catalogue SERYTI</t>
        </is>
      </c>
      <c r="F237" s="6" t="inlineStr">
        <is>
          <t>Le HIRE de URB-LC relie une déviation de commande sollicitée par la scène (Acceleration command, Deceleration command, Steering command) au hazard de l'abstract (H2)</t>
        </is>
      </c>
      <c r="G237" s="6" t="inlineStr">
        <is>
          <t>H2 Front collision</t>
        </is>
      </c>
      <c r="H237" s="6" t="inlineStr">
        <is>
          <t>Acceleration command, Brake Lights command, Deceleration command, Steering command, Turn Signal command</t>
        </is>
      </c>
      <c r="I237" s="6" t="n">
        <v>11</v>
      </c>
      <c r="J237" s="6" t="inlineStr">
        <is>
          <t>URB_ Lane Changes / Overtaking_Excessive Acceleration_01
URB_ Lane Changes / Overtaking_Excessive Acceleration_02
URB_ Lane Changes / Overtaking_Excessive Acceleration_04
URB_ Lane Changes / Overtaking_Insufficient Deceleration_01
URB_ Lane Changes / Overtaking_Insufficient Deceleration_03
URB_ Lane Changes / Overtaking_No Deceleration_01
URB_ Lane Changes / Overtaking_No Deceleration_04
URB_ Lane Changes / Overtaking_No Steering_02
URB_ Lane Changes / Overtaking_Unintended Acceleration_01
URB_ Lane Changes / Overtaking_Unintended Acceleration_02</t>
        </is>
      </c>
      <c r="K237" s="6" t="inlineStr">
        <is>
          <t>HFS-066</t>
        </is>
      </c>
      <c r="L237" s="6" t="inlineStr"/>
      <c r="M237" s="6" t="inlineStr">
        <is>
          <t>[Out-of-ODD] Disabled / stopped vehicle in lane or shoulder, [Out-of-ODD] Sudden object intrusion</t>
        </is>
      </c>
    </row>
    <row r="238">
      <c r="A238" s="6" t="inlineStr">
        <is>
          <t>URB-12</t>
        </is>
      </c>
      <c r="B238" s="6" t="inlineStr">
        <is>
          <t>Véhicule en double file qui bloque la voie</t>
        </is>
      </c>
      <c r="C238" s="6" t="inlineStr">
        <is>
          <t>URB-SIL</t>
        </is>
      </c>
      <c r="D238" s="16" t="inlineStr">
        <is>
          <t>justifié</t>
        </is>
      </c>
      <c r="E238" s="6" t="inlineStr">
        <is>
          <t>catalogue SERYTI</t>
        </is>
      </c>
      <c r="F238" s="6" t="inlineStr">
        <is>
          <t>Le HIRE de URB-SIL relie une déviation de commande sollicitée par la scène (Deceleration command) au hazard de l'abstract (H2)</t>
        </is>
      </c>
      <c r="G238" s="6" t="inlineStr">
        <is>
          <t>H2 Front collision</t>
        </is>
      </c>
      <c r="H238" s="6" t="inlineStr">
        <is>
          <t>Brake Lights command, Deceleration command, Hazard Lights command, Steering command</t>
        </is>
      </c>
      <c r="I238" s="6" t="n">
        <v>1</v>
      </c>
      <c r="J238" s="6" t="inlineStr">
        <is>
          <t>URB_ Stop in Lane_No Deceleration_01</t>
        </is>
      </c>
      <c r="K238" s="6" t="inlineStr">
        <is>
          <t>HFS-091</t>
        </is>
      </c>
      <c r="L238" s="6" t="inlineStr"/>
      <c r="M238" s="6" t="inlineStr">
        <is>
          <t>[Out-of-ODD] Disabled / stopped vehicle in lane or shoulder, [Out-of-ODD] Sudden object intrusion</t>
        </is>
      </c>
    </row>
    <row r="239">
      <c r="A239" s="6" t="inlineStr">
        <is>
          <t>URB-12</t>
        </is>
      </c>
      <c r="B239" s="6" t="inlineStr">
        <is>
          <t>Véhicule en double file qui bloque la voie</t>
        </is>
      </c>
      <c r="C239" s="6" t="inlineStr">
        <is>
          <t>URB-FOL</t>
        </is>
      </c>
      <c r="D239" s="16" t="inlineStr">
        <is>
          <t>justifié</t>
        </is>
      </c>
      <c r="E239" s="6" t="inlineStr">
        <is>
          <t>catalogue SERYTI</t>
        </is>
      </c>
      <c r="F239" s="6" t="inlineStr">
        <is>
          <t>Le HIRE de URB-FOL relie une déviation de commande sollicitée par la scène (Deceleration command, Steering command) au hazard de l'abstract (H2)</t>
        </is>
      </c>
      <c r="G239" s="6" t="inlineStr">
        <is>
          <t>H2 Front collision</t>
        </is>
      </c>
      <c r="H239" s="6" t="inlineStr">
        <is>
          <t>Brake Lights command, Deceleration command, Steering command</t>
        </is>
      </c>
      <c r="I239" s="6" t="n">
        <v>5</v>
      </c>
      <c r="J239" s="6" t="inlineStr">
        <is>
          <t>URB_ Lane-Centered Adaptive Follow_Insufficient Deceleration_01
URB_ Lane-Centered Adaptive Follow_Insufficient Deceleration_03
URB_ Lane-Centered Adaptive Follow_No Deceleration_01
URB_ Lane-Centered Adaptive Follow_No Deceleration_04
URB_ Lane-Centered Adaptive Follow_No Steering_02</t>
        </is>
      </c>
      <c r="K239" s="6" t="inlineStr">
        <is>
          <t>HFS-071</t>
        </is>
      </c>
      <c r="L239" s="6" t="inlineStr"/>
      <c r="M239" s="6" t="inlineStr">
        <is>
          <t>[Out-of-ODD] Disabled / stopped vehicle in lane or shoulder, [Out-of-ODD] Sudden object intrusion</t>
        </is>
      </c>
    </row>
    <row r="240">
      <c r="A240" s="6" t="inlineStr">
        <is>
          <t>URB-13</t>
        </is>
      </c>
      <c r="B240" s="6" t="inlineStr">
        <is>
          <t>Bus qui s'arrête à un arrêt</t>
        </is>
      </c>
      <c r="C240" s="6" t="inlineStr">
        <is>
          <t>URB-FOL</t>
        </is>
      </c>
      <c r="D240" s="16" t="inlineStr">
        <is>
          <t>justifié</t>
        </is>
      </c>
      <c r="E240" s="6" t="inlineStr">
        <is>
          <t>catalogue SERYTI</t>
        </is>
      </c>
      <c r="F240" s="6" t="inlineStr">
        <is>
          <t>Le HIRE de URB-FOL relie une déviation de commande sollicitée par la scène (Acceleration command, Deceleration command) au hazard de l'abstract (H2)</t>
        </is>
      </c>
      <c r="G240" s="6" t="inlineStr">
        <is>
          <t>H2 Front collision</t>
        </is>
      </c>
      <c r="H240" s="6" t="inlineStr">
        <is>
          <t>Acceleration command, Brake Lights command, Deceleration command</t>
        </is>
      </c>
      <c r="I240" s="6" t="n">
        <v>10</v>
      </c>
      <c r="J240" s="6" t="inlineStr">
        <is>
          <t>URB_ Lane-Centered Adaptive Follow_Excessive Acceleration_01
URB_ Lane-Centered Adaptive Follow_Excessive Acceleration_02
URB_ Lane-Centered Adaptive Follow_Excessive Acceleration_04
URB_ Lane-Centered Adaptive Follow_Insufficient Deceleration_01
URB_ Lane-Centered Adaptive Follow_Insufficient Deceleration_03
URB_ Lane-Centered Adaptive Follow_No Deceleration_01
URB_ Lane-Centered Adaptive Follow_No Deceleration_04
URB_ Lane-Centered Adaptive Follow_Unintended Acceleration_01
URB_ Lane-Centered Adaptive Follow_Unintended Acceleration_02
URB_ Lane-Centered Adaptive Follow_Unintended Acceleration_04</t>
        </is>
      </c>
      <c r="K240" s="6" t="inlineStr">
        <is>
          <t>HFS-071</t>
        </is>
      </c>
      <c r="L240" s="6" t="inlineStr"/>
      <c r="M240" s="6" t="inlineStr"/>
    </row>
    <row r="241">
      <c r="A241" s="6" t="inlineStr">
        <is>
          <t>URB-13</t>
        </is>
      </c>
      <c r="B241" s="6" t="inlineStr">
        <is>
          <t>Bus qui s'arrête à un arrêt</t>
        </is>
      </c>
      <c r="C241" s="6" t="inlineStr">
        <is>
          <t>URB-LC</t>
        </is>
      </c>
      <c r="D241" s="16" t="inlineStr">
        <is>
          <t>justifié</t>
        </is>
      </c>
      <c r="E241" s="6" t="inlineStr">
        <is>
          <t>catalogue SERYTI</t>
        </is>
      </c>
      <c r="F241" s="6" t="inlineStr">
        <is>
          <t>Le HIRE de URB-LC relie une déviation de commande sollicitée par la scène (Acceleration command, Deceleration command, Steering command) au hazard de l'abstract (H2)</t>
        </is>
      </c>
      <c r="G241" s="6" t="inlineStr">
        <is>
          <t>H2 Front collision</t>
        </is>
      </c>
      <c r="H241" s="6" t="inlineStr">
        <is>
          <t>Acceleration command, Brake Lights command, Deceleration command, Steering command, Turn Signal command</t>
        </is>
      </c>
      <c r="I241" s="6" t="n">
        <v>11</v>
      </c>
      <c r="J241" s="6" t="inlineStr">
        <is>
          <t>URB_ Lane Changes / Overtaking_Excessive Acceleration_01
URB_ Lane Changes / Overtaking_Excessive Acceleration_02
URB_ Lane Changes / Overtaking_Excessive Acceleration_04
URB_ Lane Changes / Overtaking_Insufficient Deceleration_01
URB_ Lane Changes / Overtaking_Insufficient Deceleration_03
URB_ Lane Changes / Overtaking_No Deceleration_01
URB_ Lane Changes / Overtaking_No Deceleration_04
URB_ Lane Changes / Overtaking_No Steering_02
URB_ Lane Changes / Overtaking_Unintended Acceleration_01
URB_ Lane Changes / Overtaking_Unintended Acceleration_02</t>
        </is>
      </c>
      <c r="K241" s="6" t="inlineStr">
        <is>
          <t>HFS-066</t>
        </is>
      </c>
      <c r="L241" s="6" t="inlineStr"/>
      <c r="M241" s="6" t="inlineStr"/>
    </row>
    <row r="242">
      <c r="A242" s="6" t="inlineStr">
        <is>
          <t>URB-14</t>
        </is>
      </c>
      <c r="B242" s="6" t="inlineStr">
        <is>
          <t>Véhicule d'urgence à une intersection</t>
        </is>
      </c>
      <c r="C242" s="6" t="inlineStr">
        <is>
          <t>URB-STR</t>
        </is>
      </c>
      <c r="D242" s="17" t="inlineStr">
        <is>
          <t>justifié indirectement</t>
        </is>
      </c>
      <c r="E242" s="6" t="inlineStr">
        <is>
          <t>catalogue SERYTI</t>
        </is>
      </c>
      <c r="F242" s="6" t="inlineStr">
        <is>
          <t>Abstract pas encore générable : lien fondé sur le hazard seul (H1)</t>
        </is>
      </c>
      <c r="G242" s="6" t="inlineStr">
        <is>
          <t>H1 Side collision</t>
        </is>
      </c>
      <c r="H242" s="6" t="inlineStr"/>
      <c r="I242" s="6" t="n">
        <v>14</v>
      </c>
      <c r="J242" s="6" t="inlineStr">
        <is>
          <t>URB_ Going Straight Through Protected / Unprotected Intersection_Insufficient Steering_01
URB_ Going Straight Through Protected / Unprotected Intersection_No Steering_01
URB_ Going Straight Through Protected / Unprotected Intersection_Steering in opposite direction_01
URB_ Going Straight Through Protected / Unprotected Intersection_Unintended Steering_01
URB_ Going Straight through Intersection_Excessive Steering_01
URB_ Going Straight through Intersection_Excessive Steering_02
URB_ Going Straight through Intersection_Insufficient Steering_01
URB_ Going Straight through Intersection_No Deceleration_02
URB_ Going Straight through Intersection_No Steering_01
URB_ Going Straight through Intersection_Steering for too long / stuck_01</t>
        </is>
      </c>
      <c r="K242" s="6" t="inlineStr">
        <is>
          <t>HFS-056, HFS-060</t>
        </is>
      </c>
      <c r="L242" s="6" t="inlineStr"/>
      <c r="M242" s="6" t="inlineStr"/>
    </row>
    <row r="243">
      <c r="A243" s="6" t="inlineStr">
        <is>
          <t>URB-14</t>
        </is>
      </c>
      <c r="B243" s="6" t="inlineStr">
        <is>
          <t>Véhicule d'urgence à une intersection</t>
        </is>
      </c>
      <c r="C243" s="6" t="inlineStr">
        <is>
          <t>URB-TRN</t>
        </is>
      </c>
      <c r="D243" s="17" t="inlineStr">
        <is>
          <t>justifié indirectement</t>
        </is>
      </c>
      <c r="E243" s="6" t="inlineStr">
        <is>
          <t>catalogue SERYTI</t>
        </is>
      </c>
      <c r="F243" s="6" t="inlineStr">
        <is>
          <t>Abstract pas encore générable : lien fondé sur le hazard seul (H1)</t>
        </is>
      </c>
      <c r="G243" s="6" t="inlineStr">
        <is>
          <t>H1 Side collision</t>
        </is>
      </c>
      <c r="H243" s="6" t="inlineStr"/>
      <c r="I243" s="6" t="n">
        <v>31</v>
      </c>
      <c r="J243" s="6" t="inlineStr">
        <is>
          <t>URB_ Protected / Unprotected Turn At Intersection_Excessive Steering_01
URB_ Protected / Unprotected Turn At Intersection_Insufficient Steering_01
URB_ Protected / Unprotected Turn At Intersection_No Steering_01
URB_ Protected / Unprotected Turn At Intersection_No Turn Signal_01
URB_ Protected / Unprotected Turn At Intersection_Steering in opposite direction_01
URB_ Protected / Unprotected Turn At Intersection_Turn Signal in opposite direction_01
URB_ Protected / Unprotected Turn At Intersection_Turn Signal too late_01
URB_ Protected / Unprotected Turn At Intersection_Unintended Steering_01
URB_ Protected/Unprotected Turn at Intersection_Excessive Steering_01
URB_ Protected/Unprotected Turn at Intersection_Excessive Steering_02</t>
        </is>
      </c>
      <c r="K243" s="6" t="inlineStr">
        <is>
          <t>HFS-080, HFS-084</t>
        </is>
      </c>
      <c r="L243" s="6" t="inlineStr"/>
      <c r="M243" s="6" t="inlineStr"/>
    </row>
    <row r="244">
      <c r="A244" s="6" t="inlineStr">
        <is>
          <t>URB-14</t>
        </is>
      </c>
      <c r="B244" s="6" t="inlineStr">
        <is>
          <t>Véhicule d'urgence à une intersection</t>
        </is>
      </c>
      <c r="C244" s="6" t="inlineStr">
        <is>
          <t>URB-SIL</t>
        </is>
      </c>
      <c r="D244" s="17" t="inlineStr">
        <is>
          <t>justifié indirectement</t>
        </is>
      </c>
      <c r="E244" s="6" t="inlineStr">
        <is>
          <t>catalogue SERYTI</t>
        </is>
      </c>
      <c r="F244" s="6" t="inlineStr">
        <is>
          <t>Abstract pas encore générable : lien fondé sur le hazard seul (H1)</t>
        </is>
      </c>
      <c r="G244" s="6" t="inlineStr">
        <is>
          <t>H1 Side collision</t>
        </is>
      </c>
      <c r="H244" s="6" t="inlineStr"/>
      <c r="I244" s="6" t="n">
        <v>6</v>
      </c>
      <c r="J244" s="6" t="inlineStr">
        <is>
          <t>URB_ Stop in Lane_Excessive Steering_01
URB_ Stop in Lane_Insufficient Steering_01
URB_ Stop in Lane_No Steering_01
URB_ Stop in Lane_Steering for too long / stuck_01
URB_ Stop in Lane_Steering in opposite direction_01
URB_ Stop in Lane_Unintended Steering_01</t>
        </is>
      </c>
      <c r="K244" s="6" t="inlineStr">
        <is>
          <t>HFS-090</t>
        </is>
      </c>
      <c r="L244" s="6" t="inlineStr"/>
      <c r="M244" s="6" t="inlineStr"/>
    </row>
    <row r="245">
      <c r="A245" s="6" t="inlineStr">
        <is>
          <t>URB-15</t>
        </is>
      </c>
      <c r="B245" s="6" t="inlineStr">
        <is>
          <t>Véhicule venant d'en face qui empiète sur la voie</t>
        </is>
      </c>
      <c r="C245" s="6" t="inlineStr">
        <is>
          <t>URB-CRU</t>
        </is>
      </c>
      <c r="D245" s="17" t="inlineStr">
        <is>
          <t>justifié indirectement</t>
        </is>
      </c>
      <c r="E245" s="6" t="inlineStr">
        <is>
          <t>catalogue SERYTI</t>
        </is>
      </c>
      <c r="F245" s="6" t="inlineStr">
        <is>
          <t>Abstract pas encore générable : lien fondé sur le hazard seul (H2)</t>
        </is>
      </c>
      <c r="G245" s="6" t="inlineStr">
        <is>
          <t>H2 Front collision</t>
        </is>
      </c>
      <c r="H245" s="6" t="inlineStr"/>
      <c r="I245" s="6" t="n">
        <v>11</v>
      </c>
      <c r="J245" s="6" t="inlineStr">
        <is>
          <t>URB_ Lane-Centered Cruise_Excessive Acceleration_01
URB_ Lane-Centered Cruise_Excessive Acceleration_02
URB_ Lane-Centered Cruise_Excessive Acceleration_04
URB_ Lane-Centered Cruise_Insufficient Deceleration_01
URB_ Lane-Centered Cruise_Insufficient Deceleration_03
URB_ Lane-Centered Cruise_No Deceleration_01
URB_ Lane-Centered Cruise_No Deceleration_04
URB_ Lane-Centered Cruise_No Steering_02
URB_ Lane-Centered Cruise_Unintended Acceleration_01
URB_ Lane-Centered Cruise_Unintended Acceleration_02</t>
        </is>
      </c>
      <c r="K245" s="6" t="inlineStr">
        <is>
          <t>HFS-076</t>
        </is>
      </c>
      <c r="L245" s="6" t="inlineStr"/>
      <c r="M245" s="6" t="inlineStr"/>
    </row>
    <row r="246">
      <c r="A246" s="6" t="inlineStr">
        <is>
          <t>URB-15</t>
        </is>
      </c>
      <c r="B246" s="6" t="inlineStr">
        <is>
          <t>Véhicule venant d'en face qui empiète sur la voie</t>
        </is>
      </c>
      <c r="C246" s="6" t="inlineStr">
        <is>
          <t>URB-ELM</t>
        </is>
      </c>
      <c r="D246" s="17" t="inlineStr">
        <is>
          <t>justifié indirectement</t>
        </is>
      </c>
      <c r="E246" s="6" t="inlineStr">
        <is>
          <t>catalogue SERYTI</t>
        </is>
      </c>
      <c r="F246" s="6" t="inlineStr">
        <is>
          <t>Abstract pas encore générable : lien fondé sur le hazard seul (H2)</t>
        </is>
      </c>
      <c r="G246" s="6" t="inlineStr">
        <is>
          <t>H2 Front collision</t>
        </is>
      </c>
      <c r="H246" s="6" t="inlineStr"/>
      <c r="I246" s="6" t="n">
        <v>3</v>
      </c>
      <c r="J246" s="6" t="inlineStr">
        <is>
          <t>URB_ Emergency Lateral Motion_Excessive Acceleration_01
URB_ Emergency Lateral Motion_No Deceleration_01
URB_ Emergency Lateral Motion_Unintended Acceleration_01</t>
        </is>
      </c>
      <c r="K246" s="6" t="inlineStr">
        <is>
          <t>HFS-052</t>
        </is>
      </c>
      <c r="L246" s="6" t="inlineStr"/>
      <c r="M246" s="6" t="inlineStr"/>
    </row>
    <row r="247">
      <c r="A247" s="6" t="inlineStr">
        <is>
          <t>URB-16</t>
        </is>
      </c>
      <c r="B247" s="6" t="inlineStr">
        <is>
          <t>Véhicule qui tourne devant le SDT et ralentit</t>
        </is>
      </c>
      <c r="C247" s="6" t="inlineStr">
        <is>
          <t>URB-FOL</t>
        </is>
      </c>
      <c r="D247" s="16" t="inlineStr">
        <is>
          <t>justifié</t>
        </is>
      </c>
      <c r="E247" s="6" t="inlineStr">
        <is>
          <t>catalogue SERYTI</t>
        </is>
      </c>
      <c r="F247" s="6" t="inlineStr">
        <is>
          <t>Le HIRE de URB-FOL relie une déviation de commande sollicitée par la scène (Acceleration command, Deceleration command) au hazard de l'abstract (H2)</t>
        </is>
      </c>
      <c r="G247" s="6" t="inlineStr">
        <is>
          <t>H2 Front collision</t>
        </is>
      </c>
      <c r="H247" s="6" t="inlineStr">
        <is>
          <t>Acceleration command, Brake Lights command, Deceleration command</t>
        </is>
      </c>
      <c r="I247" s="6" t="n">
        <v>10</v>
      </c>
      <c r="J247" s="6" t="inlineStr">
        <is>
          <t>URB_ Lane-Centered Adaptive Follow_Excessive Acceleration_01
URB_ Lane-Centered Adaptive Follow_Excessive Acceleration_02
URB_ Lane-Centered Adaptive Follow_Excessive Acceleration_04
URB_ Lane-Centered Adaptive Follow_Insufficient Deceleration_01
URB_ Lane-Centered Adaptive Follow_Insufficient Deceleration_03
URB_ Lane-Centered Adaptive Follow_No Deceleration_01
URB_ Lane-Centered Adaptive Follow_No Deceleration_04
URB_ Lane-Centered Adaptive Follow_Unintended Acceleration_01
URB_ Lane-Centered Adaptive Follow_Unintended Acceleration_02
URB_ Lane-Centered Adaptive Follow_Unintended Acceleration_04</t>
        </is>
      </c>
      <c r="K247" s="6" t="inlineStr">
        <is>
          <t>HFS-071</t>
        </is>
      </c>
      <c r="L247" s="6" t="inlineStr"/>
      <c r="M247" s="6" t="inlineStr"/>
    </row>
    <row r="248">
      <c r="A248" s="6" t="inlineStr">
        <is>
          <t>HUB-01</t>
        </is>
      </c>
      <c r="B248" s="6" t="inlineStr">
        <is>
          <t>Tracteur de cour qui croise le trajet</t>
        </is>
      </c>
      <c r="C248" s="6" t="inlineStr">
        <is>
          <t>HUB-LSD</t>
        </is>
      </c>
      <c r="D248" s="17" t="inlineStr">
        <is>
          <t>justifié indirectement</t>
        </is>
      </c>
      <c r="E248" s="6" t="inlineStr">
        <is>
          <t>catalogue SERYTI</t>
        </is>
      </c>
      <c r="F248" s="6" t="inlineStr">
        <is>
          <t>Abstract pas encore générable : lien fondé sur le hazard seul (H1, H2)</t>
        </is>
      </c>
      <c r="G248" s="6" t="inlineStr">
        <is>
          <t>H1 Side collision, H2 Front collision</t>
        </is>
      </c>
      <c r="H248" s="6" t="inlineStr"/>
      <c r="I248" s="6" t="n">
        <v>17</v>
      </c>
      <c r="J248" s="6" t="inlineStr">
        <is>
          <t>HUB_ Low-Speed Driving_Excessive Acceleration_01
HUB_ Low-Speed Driving_Excessive Acceleration_03
HUB_ Low-Speed Driving_Excessive Steering_01
HUB_ Low-Speed Driving_Excessive Steering_02
HUB_ Low-Speed Driving_Insufficient Deceleration_02
HUB_ Low-Speed Driving_Insufficient Steering_01
HUB_ Low-Speed Driving_No Deceleration_01
HUB_ Low-Speed Driving_No Deceleration_03
HUB_ Low-Speed Driving_No Steering_01
HUB_ Low-Speed Driving_No Steering_02</t>
        </is>
      </c>
      <c r="K248" s="6" t="inlineStr">
        <is>
          <t>HFS-111, HFS-112</t>
        </is>
      </c>
      <c r="L248" s="6" t="inlineStr"/>
      <c r="M248" s="6" t="inlineStr"/>
    </row>
    <row r="249">
      <c r="A249" s="6" t="inlineStr">
        <is>
          <t>HUB-01</t>
        </is>
      </c>
      <c r="B249" s="6" t="inlineStr">
        <is>
          <t>Tracteur de cour qui croise le trajet</t>
        </is>
      </c>
      <c r="C249" s="6" t="inlineStr">
        <is>
          <t>HUB-AVD</t>
        </is>
      </c>
      <c r="D249" s="17" t="inlineStr">
        <is>
          <t>justifié indirectement</t>
        </is>
      </c>
      <c r="E249" s="6" t="inlineStr">
        <is>
          <t>catalogue SERYTI</t>
        </is>
      </c>
      <c r="F249" s="6" t="inlineStr">
        <is>
          <t>Abstract pas encore générable : lien fondé sur le hazard seul (H1, H2)</t>
        </is>
      </c>
      <c r="G249" s="6" t="inlineStr">
        <is>
          <t>H1 Side collision, H2 Front collision</t>
        </is>
      </c>
      <c r="H249" s="6" t="inlineStr"/>
      <c r="I249" s="6" t="n">
        <v>25</v>
      </c>
      <c r="J249" s="6" t="inlineStr">
        <is>
          <t>HUB_ Asset Avoidance / Shared-Space Crawl_Excessive Acceleration_01
HUB_ Asset Avoidance / Shared-Space Crawl_Excessive Acceleration_03
HUB_ Asset Avoidance / Shared-Space Crawl_Excessive Steering_01
HUB_ Asset Avoidance / Shared-Space Crawl_Excessive Steering_02
HUB_ Asset Avoidance / Shared-Space Crawl_Excessive Steering_04
HUB_ Asset Avoidance / Shared-Space Crawl_Insufficient Deceleration_02
HUB_ Asset Avoidance / Shared-Space Crawl_Insufficient Steering_01
HUB_ Asset Avoidance / Shared-Space Crawl_Insufficient Steering_04
HUB_ Asset Avoidance / Shared-Space Crawl_No Deceleration_01
HUB_ Asset Avoidance / Shared-Space Crawl_No Deceleration_03</t>
        </is>
      </c>
      <c r="K249" s="6" t="inlineStr">
        <is>
          <t>HFS-095, HFS-096</t>
        </is>
      </c>
      <c r="L249" s="6" t="inlineStr"/>
      <c r="M249" s="6" t="inlineStr"/>
    </row>
    <row r="250">
      <c r="A250" s="6" t="inlineStr">
        <is>
          <t>HUB-02</t>
        </is>
      </c>
      <c r="B250" s="6" t="inlineStr">
        <is>
          <t>Piéton travaillant dans la cour</t>
        </is>
      </c>
      <c r="C250" s="6" t="inlineStr">
        <is>
          <t>HUB-LSD</t>
        </is>
      </c>
      <c r="D250" s="17" t="inlineStr">
        <is>
          <t>justifié indirectement</t>
        </is>
      </c>
      <c r="E250" s="6" t="inlineStr">
        <is>
          <t>catalogue SERYTI</t>
        </is>
      </c>
      <c r="F250" s="6" t="inlineStr">
        <is>
          <t>Abstract pas encore générable : lien fondé sur le hazard seul (H2)</t>
        </is>
      </c>
      <c r="G250" s="6" t="inlineStr">
        <is>
          <t>H2 Front collision</t>
        </is>
      </c>
      <c r="H250" s="6" t="inlineStr"/>
      <c r="I250" s="6" t="n">
        <v>8</v>
      </c>
      <c r="J250" s="6" t="inlineStr">
        <is>
          <t>HUB_ Low-Speed Driving_Excessive Acceleration_01
HUB_ Low-Speed Driving_Excessive Acceleration_03
HUB_ Low-Speed Driving_Insufficient Deceleration_02
HUB_ Low-Speed Driving_No Deceleration_01
HUB_ Low-Speed Driving_No Deceleration_03
HUB_ Low-Speed Driving_No Steering_02
HUB_ Low-Speed Driving_Unintended Acceleration_01
HUB_ Low-Speed Driving_Unintended Acceleration_03</t>
        </is>
      </c>
      <c r="K250" s="6" t="inlineStr">
        <is>
          <t>HFS-112</t>
        </is>
      </c>
      <c r="L250" s="6" t="inlineStr"/>
      <c r="M250" s="6" t="inlineStr"/>
    </row>
    <row r="251">
      <c r="A251" s="6" t="inlineStr">
        <is>
          <t>HUB-02</t>
        </is>
      </c>
      <c r="B251" s="6" t="inlineStr">
        <is>
          <t>Piéton travaillant dans la cour</t>
        </is>
      </c>
      <c r="C251" s="6" t="inlineStr">
        <is>
          <t>HUB-AVD</t>
        </is>
      </c>
      <c r="D251" s="17" t="inlineStr">
        <is>
          <t>justifié indirectement</t>
        </is>
      </c>
      <c r="E251" s="6" t="inlineStr">
        <is>
          <t>catalogue SERYTI</t>
        </is>
      </c>
      <c r="F251" s="6" t="inlineStr">
        <is>
          <t>Abstract pas encore générable : lien fondé sur le hazard seul (H2)</t>
        </is>
      </c>
      <c r="G251" s="6" t="inlineStr">
        <is>
          <t>H2 Front collision</t>
        </is>
      </c>
      <c r="H251" s="6" t="inlineStr"/>
      <c r="I251" s="6" t="n">
        <v>10</v>
      </c>
      <c r="J251" s="6" t="inlineStr">
        <is>
          <t>HUB_ Asset Avoidance / Shared-Space Crawl_Excessive Acceleration_01
HUB_ Asset Avoidance / Shared-Space Crawl_Excessive Acceleration_03
HUB_ Asset Avoidance / Shared-Space Crawl_Insufficient Deceleration_02
HUB_ Asset Avoidance / Shared-Space Crawl_No Deceleration_01
HUB_ Asset Avoidance / Shared-Space Crawl_No Deceleration_03
HUB_ Asset Avoidance / Shared-Space Crawl_No Steering_02
HUB_ Asset Avoidance / Shared-Space Crawl_Unintended Acceleration_01
HUB_ Asset Avoidance / Shared-Space Crawl_Unintended Acceleration_03
HUB_ Asset Avoidance / Shared-Space Crawl_Deceleration too late_01
HUB_ Asset Avoidance / Shared-Space Crawl_No Deceleration_04</t>
        </is>
      </c>
      <c r="K251" s="6" t="inlineStr">
        <is>
          <t>HFS-096</t>
        </is>
      </c>
      <c r="L251" s="6" t="inlineStr"/>
      <c r="M251" s="6" t="inlineStr"/>
    </row>
    <row r="252">
      <c r="A252" s="6" t="inlineStr">
        <is>
          <t>HUB-02</t>
        </is>
      </c>
      <c r="B252" s="6" t="inlineStr">
        <is>
          <t>Piéton travaillant dans la cour</t>
        </is>
      </c>
      <c r="C252" s="6" t="inlineStr">
        <is>
          <t>HUB-EST</t>
        </is>
      </c>
      <c r="D252" s="17" t="inlineStr">
        <is>
          <t>justifié indirectement</t>
        </is>
      </c>
      <c r="E252" s="6" t="inlineStr">
        <is>
          <t>catalogue SERYTI</t>
        </is>
      </c>
      <c r="F252" s="6" t="inlineStr">
        <is>
          <t>Abstract pas encore générable : lien fondé sur le hazard seul (H2)</t>
        </is>
      </c>
      <c r="G252" s="6" t="inlineStr">
        <is>
          <t>H2 Front collision</t>
        </is>
      </c>
      <c r="H252" s="6" t="inlineStr"/>
      <c r="I252" s="6" t="n">
        <v>3</v>
      </c>
      <c r="J252" s="6" t="inlineStr">
        <is>
          <t>HUB_ Emergency Stop_Excessive Acceleration_01
HUB_ Emergency Stop_No Deceleration_01
HUB_ Emergency Stop_Unintended Acceleration_01</t>
        </is>
      </c>
      <c r="K252" s="6" t="inlineStr">
        <is>
          <t>HFS-107</t>
        </is>
      </c>
      <c r="L252" s="6" t="inlineStr"/>
      <c r="M252" s="6" t="inlineStr"/>
    </row>
    <row r="253">
      <c r="A253" s="6" t="inlineStr">
        <is>
          <t>HUB-03</t>
        </is>
      </c>
      <c r="B253" s="6" t="inlineStr">
        <is>
          <t>Mise à quai en marche arrière avec obstacle</t>
        </is>
      </c>
      <c r="C253" s="6" t="inlineStr">
        <is>
          <t>HUB-DCK</t>
        </is>
      </c>
      <c r="D253" s="17" t="inlineStr">
        <is>
          <t>justifié indirectement</t>
        </is>
      </c>
      <c r="E253" s="6" t="inlineStr">
        <is>
          <t>catalogue SERYTI</t>
        </is>
      </c>
      <c r="F253" s="6" t="inlineStr">
        <is>
          <t>Abstract pas encore générable : lien fondé sur le hazard seul (H3)</t>
        </is>
      </c>
      <c r="G253" s="6" t="inlineStr">
        <is>
          <t>H3 Rear-end by follower</t>
        </is>
      </c>
      <c r="H253" s="6" t="inlineStr"/>
      <c r="I253" s="6" t="n">
        <v>11</v>
      </c>
      <c r="J253" s="6" t="inlineStr">
        <is>
          <t>HUB_ Docking / Parking_Acceleration from Standstill in opposite direction_01
HUB_ Docking / Parking_Excessive Deceleration_01
HUB_ Docking / Parking_Excessive Deceleration_03
HUB_ Docking / Parking_Hazard Lights too late_01
HUB_ Docking / Parking_Insufficient Acceleration_02
HUB_ Docking / Parking_Insufficient Steering_02
HUB_ Docking / Parking_No Acceleration_01
HUB_ Docking / Parking_No Acceleration_02
HUB_ Docking / Parking_Unintended Deceleration_01
HUB_ Docking / Parking_Unintended Deceleration_03</t>
        </is>
      </c>
      <c r="K253" s="6" t="inlineStr">
        <is>
          <t>HFS-102</t>
        </is>
      </c>
      <c r="L253" s="6" t="inlineStr"/>
      <c r="M253" s="6" t="inlineStr"/>
    </row>
    <row r="254">
      <c r="A254" s="6" t="inlineStr">
        <is>
          <t>HUB-04</t>
        </is>
      </c>
      <c r="B254" s="6" t="inlineStr">
        <is>
          <t>Désalignement au quai</t>
        </is>
      </c>
      <c r="C254" s="6" t="inlineStr">
        <is>
          <t>HUB-DCK</t>
        </is>
      </c>
      <c r="D254" s="17" t="inlineStr">
        <is>
          <t>justifié indirectement</t>
        </is>
      </c>
      <c r="E254" s="6" t="inlineStr">
        <is>
          <t>catalogue SERYTI</t>
        </is>
      </c>
      <c r="F254" s="6" t="inlineStr">
        <is>
          <t>Abstract pas encore générable : lien fondé sur le hazard seul (H5)</t>
        </is>
      </c>
      <c r="G254" s="6" t="inlineStr">
        <is>
          <t>H5 Loss of stability / control</t>
        </is>
      </c>
      <c r="H254" s="6" t="inlineStr"/>
      <c r="I254" s="6" t="n">
        <v>18</v>
      </c>
      <c r="J254" s="6" t="inlineStr">
        <is>
          <t>HUB_ Docking / Parking_Acceleration from Standstill for too long / stuck_01
HUB_ Docking / Parking_Excessive Acceleration from Standstill_01
HUB_ Docking / Parking_Excessive Acceleration_02
HUB_ Docking / Parking_Excessive Deceleration_02
HUB_ Docking / Parking_Excessive Steering_03
HUB_ Docking / Parking_Insufficient Acceleration_01
HUB_ Docking / Parking_Insufficient Deceleration_01
HUB_ Docking / Parking_Insufficient Park Brake_01
HUB_ Docking / Parking_Insufficient Steering_03
HUB_ Docking / Parking_No Deceleration_02</t>
        </is>
      </c>
      <c r="K254" s="6" t="inlineStr">
        <is>
          <t>HFS-104</t>
        </is>
      </c>
      <c r="L254" s="6" t="inlineStr"/>
      <c r="M254" s="6" t="inlineStr"/>
    </row>
    <row r="255">
      <c r="A255" s="6" t="inlineStr">
        <is>
          <t>HUB-05</t>
        </is>
      </c>
      <c r="B255" s="6" t="inlineStr">
        <is>
          <t>Départ du quai avec trafic transversal</t>
        </is>
      </c>
      <c r="C255" s="6" t="inlineStr">
        <is>
          <t>HUB-PUL</t>
        </is>
      </c>
      <c r="D255" s="17" t="inlineStr">
        <is>
          <t>justifié indirectement</t>
        </is>
      </c>
      <c r="E255" s="6" t="inlineStr">
        <is>
          <t>catalogue SERYTI</t>
        </is>
      </c>
      <c r="F255" s="6" t="inlineStr">
        <is>
          <t>Abstract pas encore générable : lien fondé sur le hazard seul (H1)</t>
        </is>
      </c>
      <c r="G255" s="6" t="inlineStr">
        <is>
          <t>H1 Side collision</t>
        </is>
      </c>
      <c r="H255" s="6" t="inlineStr"/>
      <c r="I255" s="6" t="n">
        <v>15</v>
      </c>
      <c r="J255" s="6" t="inlineStr">
        <is>
          <t>HUB_ Pull-Out / Departure_Excessive Steering_01
HUB_ Pull-Out / Departure_Excessive Steering_02
HUB_ Pull-Out / Departure_Excessive Steering_04
HUB_ Pull-Out / Departure_Insufficient Steering_01
HUB_ Pull-Out / Departure_Insufficient Steering_04
HUB_ Pull-Out / Departure_No Steering_01
HUB_ Pull-Out / Departure_No Steering_04
HUB_ Pull-Out / Departure_Steering for too long / stuck_01
HUB_ Pull-Out / Departure_Steering for too long / stuck_03
HUB_ Pull-Out / Departure_Steering in opposite direction_01</t>
        </is>
      </c>
      <c r="K255" s="6" t="inlineStr">
        <is>
          <t>HFS-116</t>
        </is>
      </c>
      <c r="L255" s="6" t="inlineStr"/>
      <c r="M255" s="6" t="inlineStr"/>
    </row>
    <row r="256">
      <c r="A256" s="6" t="inlineStr">
        <is>
          <t>HUB-06</t>
        </is>
      </c>
      <c r="B256" s="6" t="inlineStr">
        <is>
          <t>Remorque garée qui empiète sur l'allée</t>
        </is>
      </c>
      <c r="C256" s="6" t="inlineStr">
        <is>
          <t>HUB-AVD</t>
        </is>
      </c>
      <c r="D256" s="17" t="inlineStr">
        <is>
          <t>justifié indirectement</t>
        </is>
      </c>
      <c r="E256" s="6" t="inlineStr">
        <is>
          <t>catalogue SERYTI</t>
        </is>
      </c>
      <c r="F256" s="6" t="inlineStr">
        <is>
          <t>Abstract pas encore générable : lien fondé sur le hazard seul (H1)</t>
        </is>
      </c>
      <c r="G256" s="6" t="inlineStr">
        <is>
          <t>H1 Side collision</t>
        </is>
      </c>
      <c r="H256" s="6" t="inlineStr"/>
      <c r="I256" s="6" t="n">
        <v>15</v>
      </c>
      <c r="J256" s="6" t="inlineStr">
        <is>
          <t>HUB_ Asset Avoidance / Shared-Space Crawl_Excessive Steering_01
HUB_ Asset Avoidance / Shared-Space Crawl_Excessive Steering_02
HUB_ Asset Avoidance / Shared-Space Crawl_Excessive Steering_04
HUB_ Asset Avoidance / Shared-Space Crawl_Insufficient Steering_01
HUB_ Asset Avoidance / Shared-Space Crawl_Insufficient Steering_04
HUB_ Asset Avoidance / Shared-Space Crawl_No Steering_01
HUB_ Asset Avoidance / Shared-Space Crawl_No Steering_04
HUB_ Asset Avoidance / Shared-Space Crawl_Steering for too long / stuck_01
HUB_ Asset Avoidance / Shared-Space Crawl_Steering for too long / stuck_03
HUB_ Asset Avoidance / Shared-Space Crawl_Steering in opposite direction_01</t>
        </is>
      </c>
      <c r="K256" s="6" t="inlineStr">
        <is>
          <t>HFS-095</t>
        </is>
      </c>
      <c r="L256" s="6" t="inlineStr"/>
      <c r="M256" s="6" t="inlineStr"/>
    </row>
    <row r="257">
      <c r="A257" s="6" t="inlineStr">
        <is>
          <t>HUB-06</t>
        </is>
      </c>
      <c r="B257" s="6" t="inlineStr">
        <is>
          <t>Remorque garée qui empiète sur l'allée</t>
        </is>
      </c>
      <c r="C257" s="6" t="inlineStr">
        <is>
          <t>HUB-LSD</t>
        </is>
      </c>
      <c r="D257" s="17" t="inlineStr">
        <is>
          <t>justifié indirectement</t>
        </is>
      </c>
      <c r="E257" s="6" t="inlineStr">
        <is>
          <t>catalogue SERYTI</t>
        </is>
      </c>
      <c r="F257" s="6" t="inlineStr">
        <is>
          <t>Abstract pas encore générable : lien fondé sur le hazard seul (H1)</t>
        </is>
      </c>
      <c r="G257" s="6" t="inlineStr">
        <is>
          <t>H1 Side collision</t>
        </is>
      </c>
      <c r="H257" s="6" t="inlineStr"/>
      <c r="I257" s="6" t="n">
        <v>9</v>
      </c>
      <c r="J257" s="6" t="inlineStr">
        <is>
          <t>HUB_ Low-Speed Driving_Excessive Steering_01
HUB_ Low-Speed Driving_Excessive Steering_02
HUB_ Low-Speed Driving_Insufficient Steering_01
HUB_ Low-Speed Driving_No Steering_01
HUB_ Low-Speed Driving_Steering for too long / stuck_01
HUB_ Low-Speed Driving_Steering in opposite direction_01
HUB_ Low-Speed Driving_Steering in opposite direction_02
HUB_ Low-Speed Driving_Unintended Steering_01
HUB_ Low-Speed Driving_Unintended Steering_02</t>
        </is>
      </c>
      <c r="K257" s="6" t="inlineStr">
        <is>
          <t>HFS-111</t>
        </is>
      </c>
      <c r="L257" s="6" t="inlineStr"/>
      <c r="M257" s="6" t="inlineStr"/>
    </row>
    <row r="258">
      <c r="A258" s="6" t="inlineStr">
        <is>
          <t>HUB-07</t>
        </is>
      </c>
      <c r="B258" s="6" t="inlineStr">
        <is>
          <t>Chariot élévateur qui croise</t>
        </is>
      </c>
      <c r="C258" s="6" t="inlineStr">
        <is>
          <t>HUB-AVD</t>
        </is>
      </c>
      <c r="D258" s="17" t="inlineStr">
        <is>
          <t>justifié indirectement</t>
        </is>
      </c>
      <c r="E258" s="6" t="inlineStr">
        <is>
          <t>catalogue SERYTI</t>
        </is>
      </c>
      <c r="F258" s="6" t="inlineStr">
        <is>
          <t>Abstract pas encore générable : lien fondé sur le hazard seul (H2)</t>
        </is>
      </c>
      <c r="G258" s="6" t="inlineStr">
        <is>
          <t>H2 Front collision</t>
        </is>
      </c>
      <c r="H258" s="6" t="inlineStr"/>
      <c r="I258" s="6" t="n">
        <v>10</v>
      </c>
      <c r="J258" s="6" t="inlineStr">
        <is>
          <t>HUB_ Asset Avoidance / Shared-Space Crawl_Excessive Acceleration_01
HUB_ Asset Avoidance / Shared-Space Crawl_Excessive Acceleration_03
HUB_ Asset Avoidance / Shared-Space Crawl_Insufficient Deceleration_02
HUB_ Asset Avoidance / Shared-Space Crawl_No Deceleration_01
HUB_ Asset Avoidance / Shared-Space Crawl_No Deceleration_03
HUB_ Asset Avoidance / Shared-Space Crawl_No Steering_02
HUB_ Asset Avoidance / Shared-Space Crawl_Unintended Acceleration_01
HUB_ Asset Avoidance / Shared-Space Crawl_Unintended Acceleration_03
HUB_ Asset Avoidance / Shared-Space Crawl_Deceleration too late_01
HUB_ Asset Avoidance / Shared-Space Crawl_No Deceleration_04</t>
        </is>
      </c>
      <c r="K258" s="6" t="inlineStr">
        <is>
          <t>HFS-096</t>
        </is>
      </c>
      <c r="L258" s="6" t="inlineStr"/>
      <c r="M258" s="6" t="inlineStr"/>
    </row>
    <row r="259">
      <c r="A259" s="6" t="inlineStr">
        <is>
          <t>HUB-07</t>
        </is>
      </c>
      <c r="B259" s="6" t="inlineStr">
        <is>
          <t>Chariot élévateur qui croise</t>
        </is>
      </c>
      <c r="C259" s="6" t="inlineStr">
        <is>
          <t>HUB-LSD</t>
        </is>
      </c>
      <c r="D259" s="17" t="inlineStr">
        <is>
          <t>justifié indirectement</t>
        </is>
      </c>
      <c r="E259" s="6" t="inlineStr">
        <is>
          <t>catalogue SERYTI</t>
        </is>
      </c>
      <c r="F259" s="6" t="inlineStr">
        <is>
          <t>Abstract pas encore générable : lien fondé sur le hazard seul (H2)</t>
        </is>
      </c>
      <c r="G259" s="6" t="inlineStr">
        <is>
          <t>H2 Front collision</t>
        </is>
      </c>
      <c r="H259" s="6" t="inlineStr"/>
      <c r="I259" s="6" t="n">
        <v>8</v>
      </c>
      <c r="J259" s="6" t="inlineStr">
        <is>
          <t>HUB_ Low-Speed Driving_Excessive Acceleration_01
HUB_ Low-Speed Driving_Excessive Acceleration_03
HUB_ Low-Speed Driving_Insufficient Deceleration_02
HUB_ Low-Speed Driving_No Deceleration_01
HUB_ Low-Speed Driving_No Deceleration_03
HUB_ Low-Speed Driving_No Steering_02
HUB_ Low-Speed Driving_Unintended Acceleration_01
HUB_ Low-Speed Driving_Unintended Acceleration_03</t>
        </is>
      </c>
      <c r="K259" s="6" t="inlineStr">
        <is>
          <t>HFS-112</t>
        </is>
      </c>
      <c r="L259" s="6" t="inlineStr"/>
      <c r="M259" s="6" t="inlineStr"/>
    </row>
    <row r="260">
      <c r="A260" s="6" t="inlineStr">
        <is>
          <t>HUB-07</t>
        </is>
      </c>
      <c r="B260" s="6" t="inlineStr">
        <is>
          <t>Chariot élévateur qui croise</t>
        </is>
      </c>
      <c r="C260" s="6" t="inlineStr">
        <is>
          <t>HUB-EST</t>
        </is>
      </c>
      <c r="D260" s="17" t="inlineStr">
        <is>
          <t>justifié indirectement</t>
        </is>
      </c>
      <c r="E260" s="6" t="inlineStr">
        <is>
          <t>catalogue SERYTI</t>
        </is>
      </c>
      <c r="F260" s="6" t="inlineStr">
        <is>
          <t>Abstract pas encore générable : lien fondé sur le hazard seul (H2)</t>
        </is>
      </c>
      <c r="G260" s="6" t="inlineStr">
        <is>
          <t>H2 Front collision</t>
        </is>
      </c>
      <c r="H260" s="6" t="inlineStr"/>
      <c r="I260" s="6" t="n">
        <v>3</v>
      </c>
      <c r="J260" s="6" t="inlineStr">
        <is>
          <t>HUB_ Emergency Stop_Excessive Acceleration_01
HUB_ Emergency Stop_No Deceleration_01
HUB_ Emergency Stop_Unintended Acceleration_01</t>
        </is>
      </c>
      <c r="K260" s="6" t="inlineStr">
        <is>
          <t>HFS-107</t>
        </is>
      </c>
      <c r="L260" s="6" t="inlineStr"/>
      <c r="M260" s="6" t="inlineStr"/>
    </row>
    <row r="261">
      <c r="A261" s="6" t="inlineStr">
        <is>
          <t>HUB-08</t>
        </is>
      </c>
      <c r="B261" s="6" t="inlineStr">
        <is>
          <t>File d'attente au portail de sortie</t>
        </is>
      </c>
      <c r="C261" s="6" t="inlineStr">
        <is>
          <t>HUB-PUL</t>
        </is>
      </c>
      <c r="D261" s="17" t="inlineStr">
        <is>
          <t>justifié indirectement</t>
        </is>
      </c>
      <c r="E261" s="6" t="inlineStr">
        <is>
          <t>catalogue SERYTI</t>
        </is>
      </c>
      <c r="F261" s="6" t="inlineStr">
        <is>
          <t>Abstract pas encore générable : lien fondé sur le hazard seul (H2)</t>
        </is>
      </c>
      <c r="G261" s="6" t="inlineStr">
        <is>
          <t>H2 Front collision</t>
        </is>
      </c>
      <c r="H261" s="6" t="inlineStr"/>
      <c r="I261" s="6" t="n">
        <v>8</v>
      </c>
      <c r="J261" s="6" t="inlineStr">
        <is>
          <t>HUB_ Pull-Out / Departure_Excessive Acceleration_01
HUB_ Pull-Out / Departure_Excessive Acceleration_03
HUB_ Pull-Out / Departure_Insufficient Deceleration_02
HUB_ Pull-Out / Departure_No Deceleration_01
HUB_ Pull-Out / Departure_No Deceleration_03
HUB_ Pull-Out / Departure_No Steering_02
HUB_ Pull-Out / Departure_Unintended Acceleration_01
HUB_ Pull-Out / Departure_Unintended Acceleration_03</t>
        </is>
      </c>
      <c r="K261" s="6" t="inlineStr">
        <is>
          <t>HFS-117</t>
        </is>
      </c>
      <c r="L261" s="6" t="inlineStr"/>
      <c r="M261" s="6" t="inlineStr"/>
    </row>
    <row r="262">
      <c r="A262" s="6" t="inlineStr">
        <is>
          <t>HUB-09</t>
        </is>
      </c>
      <c r="B262" s="6" t="inlineStr">
        <is>
          <t>Virage serré dans la cour</t>
        </is>
      </c>
      <c r="C262" s="6" t="inlineStr">
        <is>
          <t>HUB-LSD</t>
        </is>
      </c>
      <c r="D262" s="17" t="inlineStr">
        <is>
          <t>justifié indirectement</t>
        </is>
      </c>
      <c r="E262" s="6" t="inlineStr">
        <is>
          <t>catalogue SERYTI</t>
        </is>
      </c>
      <c r="F262" s="6" t="inlineStr">
        <is>
          <t>Abstract pas encore générable : lien fondé sur le hazard seul (H1)</t>
        </is>
      </c>
      <c r="G262" s="6" t="inlineStr">
        <is>
          <t>H1 Side collision</t>
        </is>
      </c>
      <c r="H262" s="6" t="inlineStr"/>
      <c r="I262" s="6" t="n">
        <v>9</v>
      </c>
      <c r="J262" s="6" t="inlineStr">
        <is>
          <t>HUB_ Low-Speed Driving_Excessive Steering_01
HUB_ Low-Speed Driving_Excessive Steering_02
HUB_ Low-Speed Driving_Insufficient Steering_01
HUB_ Low-Speed Driving_No Steering_01
HUB_ Low-Speed Driving_Steering for too long / stuck_01
HUB_ Low-Speed Driving_Steering in opposite direction_01
HUB_ Low-Speed Driving_Steering in opposite direction_02
HUB_ Low-Speed Driving_Unintended Steering_01
HUB_ Low-Speed Driving_Unintended Steering_02</t>
        </is>
      </c>
      <c r="K262" s="6" t="inlineStr">
        <is>
          <t>HFS-111</t>
        </is>
      </c>
      <c r="L262" s="6" t="inlineStr"/>
      <c r="M262" s="6" t="inlineStr"/>
    </row>
    <row r="264">
      <c r="B264" s="7" t="inlineStr">
        <is>
          <t>Liens</t>
        </is>
      </c>
      <c r="D264" s="7">
        <f>COUNTA(C5:C262)</f>
        <v/>
      </c>
    </row>
    <row r="265">
      <c r="B265" s="7" t="inlineStr">
        <is>
          <t>Justifiés</t>
        </is>
      </c>
      <c r="D265" s="7">
        <f>COUNTIF(D5:D262,"justifié")</f>
        <v/>
      </c>
    </row>
    <row r="266">
      <c r="B266" s="7" t="inlineStr">
        <is>
          <t>Justifiés indirectement</t>
        </is>
      </c>
      <c r="D266" s="7">
        <f>COUNTIF(D5:D262,"justifié indirectement")</f>
        <v/>
      </c>
    </row>
    <row r="267">
      <c r="B267" s="7" t="inlineStr">
        <is>
          <t>À relire</t>
        </is>
      </c>
      <c r="D267" s="7">
        <f>COUNTIF(D5:D262,"à relire")</f>
        <v/>
      </c>
    </row>
  </sheetData>
  <autoFilter ref="A4:M2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0"/>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3" customWidth="1" min="3" max="3"/>
    <col width="40" customWidth="1" min="4" max="4"/>
    <col width="9" customWidth="1" min="5" max="5"/>
    <col width="8" customWidth="1" min="6" max="6"/>
    <col width="50" customWidth="1" min="7" max="7"/>
    <col width="50" customWidth="1" min="8" max="8"/>
    <col width="9" customWidth="1" min="9" max="9"/>
    <col width="9" customWidth="1" min="10" max="10"/>
    <col width="42" customWidth="1" min="11" max="11"/>
  </cols>
  <sheetData>
    <row r="1">
      <c r="A1" s="1" t="inlineStr">
        <is>
          <t>Trous du catalogue vus depuis le HIRE v2</t>
        </is>
      </c>
    </row>
    <row r="2">
      <c r="A2" s="2" t="inlineStr">
        <is>
          <t>Combinaisons du HIRE (behavior × hazard, behavior × condition ODD) et abstracts qui les couvrent. Les états système « All / State » (84 lignes) ne sont pas des behaviors et ne sont pas comptés.</t>
        </is>
      </c>
    </row>
    <row r="4">
      <c r="A4" s="5" t="inlineStr">
        <is>
          <t>Use case</t>
        </is>
      </c>
      <c r="B4" s="5" t="inlineStr">
        <is>
          <t>Behavior</t>
        </is>
      </c>
      <c r="C4" s="5" t="inlineStr">
        <is>
          <t>Type</t>
        </is>
      </c>
      <c r="D4" s="5" t="inlineStr">
        <is>
          <t>Combinaison HIRE</t>
        </is>
      </c>
      <c r="E4" s="5" t="inlineStr">
        <is>
          <t>Lignes HIRE</t>
        </is>
      </c>
      <c r="F4" s="5" t="inlineStr">
        <is>
          <t>dont MRM</t>
        </is>
      </c>
      <c r="G4" s="5" t="inlineStr">
        <is>
          <t>Malfunctions</t>
        </is>
      </c>
      <c r="H4" s="5" t="inlineStr">
        <is>
          <t>Abstracts qui couvrent</t>
        </is>
      </c>
      <c r="I4" s="5" t="inlineStr">
        <is>
          <t>Nb abstracts</t>
        </is>
      </c>
      <c r="J4" s="5" t="inlineStr">
        <is>
          <t>Statut</t>
        </is>
      </c>
      <c r="K4" s="5" t="inlineStr">
        <is>
          <t>Action proposée</t>
        </is>
      </c>
    </row>
    <row r="5">
      <c r="A5" s="6" t="inlineStr">
        <is>
          <t>Highway</t>
        </is>
      </c>
      <c r="B5" s="6" t="inlineStr">
        <is>
          <t>HW-CRU</t>
        </is>
      </c>
      <c r="C5" s="6" t="inlineStr">
        <is>
          <t>Hazard</t>
        </is>
      </c>
      <c r="D5" s="6" t="inlineStr">
        <is>
          <t>H1 Side collision</t>
        </is>
      </c>
      <c r="E5" s="6" t="n">
        <v>34</v>
      </c>
      <c r="F5" s="6" t="n"/>
      <c r="G5" s="6" t="inlineStr">
        <is>
          <t>Excessive Steering, Insufficient Steering, No Acceleration, No Deceleration, No Steering, Steering for too long / stuck, Steering in opposite direction, Steering too late</t>
        </is>
      </c>
      <c r="H5" s="6" t="inlineStr">
        <is>
          <t>LV-01, CI-01, CI-02, CI-03, CI-04, CI-05, CI-06, CI-08, ADJ-01, ADJ-02, ADJ-03, ADJ-04, ADJ-05, ADJ-06, ADJ-07, LC-TGT-07, LC-CUR-02, RMP-09, RMP-12, LC-RD-01, LC-RD-02, LC-RD-05, LC-RD-06, LC-RD-07, LC-RD-08, RD-09, RD-12, RD-14, EMV-06, LC-OOD-01, LC-OOD-02, LC-OOD-04, LC-REF-01, OBJ-03, OBJ-05, AB-03</t>
        </is>
      </c>
      <c r="I5" s="6">
        <f>IF(H5="",0,LEN(H5)-LEN(SUBSTITUTE(H5,",",""))+1)</f>
        <v/>
      </c>
      <c r="J5" s="6">
        <f>IF(I5&gt;0,"couvert","trou")</f>
        <v/>
      </c>
      <c r="K5" s="6" t="inlineStr"/>
    </row>
    <row r="6">
      <c r="A6" s="6" t="inlineStr">
        <is>
          <t>Highway</t>
        </is>
      </c>
      <c r="B6" s="6" t="inlineStr">
        <is>
          <t>HW-CRU</t>
        </is>
      </c>
      <c r="C6" s="6" t="inlineStr">
        <is>
          <t>Hazard</t>
        </is>
      </c>
      <c r="D6" s="6" t="inlineStr">
        <is>
          <t>H2 Front collision</t>
        </is>
      </c>
      <c r="E6" s="6" t="n">
        <v>23</v>
      </c>
      <c r="F6" s="6" t="n"/>
      <c r="G6" s="6" t="inlineStr">
        <is>
          <t>Deceleration too late, Excessive Acceleration, Insufficient Deceleration, No Deceleration, No Steering, Steering too late, Unintended Acceleration</t>
        </is>
      </c>
      <c r="H6" s="6" t="inlineStr">
        <is>
          <t>LV-02, LV-05, LV-09, LV-11, CI-01, CI-02, CI-03, CI-04, CI-05, CI-06, CI-08, ADJ-07, LC-CUR-02, RMP-09, RMP-11, RMP-12, LC-RD-01, LC-RD-02, LC-RD-05, LC-RD-06, LC-RD-07, RD-10, RD-13, LC-OOD-01, LC-OOD-02, LC-OOD-04, LC-REF-01, OBJ-01, OBJ-04, OBJ-05, OBJ-06</t>
        </is>
      </c>
      <c r="I6" s="6">
        <f>IF(H6="",0,LEN(H6)-LEN(SUBSTITUTE(H6,",",""))+1)</f>
        <v/>
      </c>
      <c r="J6" s="6">
        <f>IF(I6&gt;0,"couvert","trou")</f>
        <v/>
      </c>
      <c r="K6" s="6" t="inlineStr"/>
    </row>
    <row r="7">
      <c r="A7" s="6" t="inlineStr">
        <is>
          <t>Highway</t>
        </is>
      </c>
      <c r="B7" s="6" t="inlineStr">
        <is>
          <t>HW-CRU</t>
        </is>
      </c>
      <c r="C7" s="6" t="inlineStr">
        <is>
          <t>Hazard</t>
        </is>
      </c>
      <c r="D7" s="6" t="inlineStr">
        <is>
          <t>H3 Rear-end by follower</t>
        </is>
      </c>
      <c r="E7" s="6" t="n">
        <v>13</v>
      </c>
      <c r="F7" s="6" t="n"/>
      <c r="G7" s="6" t="inlineStr">
        <is>
          <t>Excessive Deceleration, Insufficient Acceleration, Insufficient Steering, No Acceleration, Unintended Deceleration</t>
        </is>
      </c>
      <c r="H7" s="6" t="inlineStr">
        <is>
          <t>LV-05, ADJ-07, LC-CUR-02, LC-RD-01, LC-RD-02, LC-RD-05, LC-RD-06, LC-RD-07, RD-13, LC-OOD-01, LC-OOD-02, LC-OOD-04, LC-REF-01, OBJ-01, OBJ-03, OBJ-04, OBJ-05, OBJ-06, AB-02</t>
        </is>
      </c>
      <c r="I7" s="6">
        <f>IF(H7="",0,LEN(H7)-LEN(SUBSTITUTE(H7,",",""))+1)</f>
        <v/>
      </c>
      <c r="J7" s="6">
        <f>IF(I7&gt;0,"couvert","trou")</f>
        <v/>
      </c>
      <c r="K7" s="6" t="inlineStr"/>
    </row>
    <row r="8">
      <c r="A8" s="6" t="inlineStr">
        <is>
          <t>Highway</t>
        </is>
      </c>
      <c r="B8" s="6" t="inlineStr">
        <is>
          <t>HW-CRU</t>
        </is>
      </c>
      <c r="C8" s="6" t="inlineStr">
        <is>
          <t>Hazard</t>
        </is>
      </c>
      <c r="D8" s="6" t="inlineStr">
        <is>
          <t>H4 Intent not communicated</t>
        </is>
      </c>
      <c r="E8" s="6" t="n">
        <v>3</v>
      </c>
      <c r="F8" s="6" t="n"/>
      <c r="G8" s="6" t="inlineStr">
        <is>
          <t>No Horn, Steering too late, Unintended Turn Signal</t>
        </is>
      </c>
      <c r="H8" s="6" t="inlineStr">
        <is>
          <t>LC-CUR-02, LC-RD-01, LC-OOD-01, LC-OOD-02, LC-OOD-04, LC-REF-01</t>
        </is>
      </c>
      <c r="I8" s="6">
        <f>IF(H8="",0,LEN(H8)-LEN(SUBSTITUTE(H8,",",""))+1)</f>
        <v/>
      </c>
      <c r="J8" s="6">
        <f>IF(I8&gt;0,"couvert","trou")</f>
        <v/>
      </c>
      <c r="K8" s="6" t="inlineStr"/>
    </row>
    <row r="9">
      <c r="A9" s="6" t="inlineStr">
        <is>
          <t>Highway</t>
        </is>
      </c>
      <c r="B9" s="6" t="inlineStr">
        <is>
          <t>HW-CRU</t>
        </is>
      </c>
      <c r="C9" s="6" t="inlineStr">
        <is>
          <t>Hazard</t>
        </is>
      </c>
      <c r="D9" s="6" t="inlineStr">
        <is>
          <t>H5 Loss of stability / control</t>
        </is>
      </c>
      <c r="E9" s="6" t="n">
        <v>19</v>
      </c>
      <c r="F9" s="6" t="n"/>
      <c r="G9" s="6" t="inlineStr">
        <is>
          <t>Excessive Acceleration, Excessive Deceleration, Excessive Steering, Insufficient Acceleration, Insufficient Deceleration, Insufficient Steering, No Deceleration, No Steering</t>
        </is>
      </c>
      <c r="H9" s="6" t="inlineStr">
        <is>
          <t>LV-01, LC-TGT-07, LC-RD-06, LC-RD-07, RD-09, RD-12, RD-13, RD-14, OBJ-01, OBJ-04</t>
        </is>
      </c>
      <c r="I9" s="6">
        <f>IF(H9="",0,LEN(H9)-LEN(SUBSTITUTE(H9,",",""))+1)</f>
        <v/>
      </c>
      <c r="J9" s="6">
        <f>IF(I9&gt;0,"couvert","trou")</f>
        <v/>
      </c>
      <c r="K9" s="6" t="inlineStr"/>
    </row>
    <row r="10">
      <c r="A10" s="6" t="inlineStr">
        <is>
          <t>Highway</t>
        </is>
      </c>
      <c r="B10" s="6" t="inlineStr">
        <is>
          <t>HW-CRU</t>
        </is>
      </c>
      <c r="C10" s="6" t="inlineStr">
        <is>
          <t>Hazard</t>
        </is>
      </c>
      <c r="D10" s="6" t="inlineStr">
        <is>
          <t>H6 Access / operational</t>
        </is>
      </c>
      <c r="E10" s="6" t="n">
        <v>1</v>
      </c>
      <c r="F10" s="6" t="n"/>
      <c r="G10" s="6" t="inlineStr">
        <is>
          <t>No Steering</t>
        </is>
      </c>
      <c r="H10" s="6" t="inlineStr">
        <is>
          <t>EMV-06</t>
        </is>
      </c>
      <c r="I10" s="6">
        <f>IF(H10="",0,LEN(H10)-LEN(SUBSTITUTE(H10,",",""))+1)</f>
        <v/>
      </c>
      <c r="J10" s="6">
        <f>IF(I10&gt;0,"couvert","trou")</f>
        <v/>
      </c>
      <c r="K10" s="6" t="inlineStr"/>
    </row>
    <row r="11">
      <c r="A11" s="6" t="inlineStr">
        <is>
          <t>Highway</t>
        </is>
      </c>
      <c r="B11" s="6" t="inlineStr">
        <is>
          <t>HW-CRU</t>
        </is>
      </c>
      <c r="C11" s="6" t="inlineStr">
        <is>
          <t>Condition ODD</t>
        </is>
      </c>
      <c r="D11" s="6" t="inlineStr">
        <is>
          <t>Curvature — sharp curve (up to 0.25 1/m)</t>
        </is>
      </c>
      <c r="E11" s="6" t="n">
        <v>3</v>
      </c>
      <c r="F11" s="6" t="n"/>
      <c r="G11" s="6" t="inlineStr">
        <is>
          <t>Excessive Acceleration, Insufficient Steering, Steering too late</t>
        </is>
      </c>
      <c r="H11" s="6" t="inlineStr">
        <is>
          <t>LC-RD-07, RD-14</t>
        </is>
      </c>
      <c r="I11" s="6">
        <f>IF(H11="",0,LEN(H11)-LEN(SUBSTITUTE(H11,",",""))+1)</f>
        <v/>
      </c>
      <c r="J11" s="6">
        <f>IF(I11&gt;0,"couvert","trou")</f>
        <v/>
      </c>
      <c r="K11" s="6" t="inlineStr"/>
    </row>
    <row r="12">
      <c r="A12" s="6" t="inlineStr">
        <is>
          <t>Highway</t>
        </is>
      </c>
      <c r="B12" s="6" t="inlineStr">
        <is>
          <t>HW-CRU</t>
        </is>
      </c>
      <c r="C12" s="6" t="inlineStr">
        <is>
          <t>Condition ODD</t>
        </is>
      </c>
      <c r="D12" s="6" t="inlineStr">
        <is>
          <t>Foreign Object Debris (FOD) in lane</t>
        </is>
      </c>
      <c r="E12" s="6" t="n">
        <v>3</v>
      </c>
      <c r="F12" s="6" t="n"/>
      <c r="G12" s="6" t="inlineStr">
        <is>
          <t>Excessive Steering, No Steering, Unintended Deceleration</t>
        </is>
      </c>
      <c r="H12" s="6" t="inlineStr">
        <is>
          <t>LC-CUR-02, OBJ-01, OBJ-06</t>
        </is>
      </c>
      <c r="I12" s="6">
        <f>IF(H12="",0,LEN(H12)-LEN(SUBSTITUTE(H12,",",""))+1)</f>
        <v/>
      </c>
      <c r="J12" s="6">
        <f>IF(I12&gt;0,"couvert","trou")</f>
        <v/>
      </c>
      <c r="K12" s="6" t="inlineStr"/>
    </row>
    <row r="13">
      <c r="A13" s="6" t="inlineStr">
        <is>
          <t>Highway</t>
        </is>
      </c>
      <c r="B13" s="6" t="inlineStr">
        <is>
          <t>HW-CRU</t>
        </is>
      </c>
      <c r="C13" s="6" t="inlineStr">
        <is>
          <t>Condition ODD</t>
        </is>
      </c>
      <c r="D13" s="6" t="inlineStr">
        <is>
          <t>Lane Boundary — degraded / absent markings</t>
        </is>
      </c>
      <c r="E13" s="6" t="n">
        <v>2</v>
      </c>
      <c r="F13" s="6" t="n"/>
      <c r="G13" s="6" t="inlineStr">
        <is>
          <t>Insufficient Steering, No Steering</t>
        </is>
      </c>
      <c r="H13" s="6" t="inlineStr">
        <is>
          <t>LC-RD-06</t>
        </is>
      </c>
      <c r="I13" s="6">
        <f>IF(H13="",0,LEN(H13)-LEN(SUBSTITUTE(H13,",",""))+1)</f>
        <v/>
      </c>
      <c r="J13" s="6">
        <f>IF(I13&gt;0,"couvert","trou")</f>
        <v/>
      </c>
      <c r="K13" s="6" t="inlineStr"/>
    </row>
    <row r="14">
      <c r="A14" s="6" t="inlineStr">
        <is>
          <t>Highway</t>
        </is>
      </c>
      <c r="B14" s="6" t="inlineStr">
        <is>
          <t>HW-CRU</t>
        </is>
      </c>
      <c r="C14" s="6" t="inlineStr">
        <is>
          <t>Condition ODD</t>
        </is>
      </c>
      <c r="D14" s="6" t="inlineStr">
        <is>
          <t>Lane Width — narrow (down to 2.5 m)</t>
        </is>
      </c>
      <c r="E14" s="6" t="n">
        <v>2</v>
      </c>
      <c r="F14" s="6" t="n"/>
      <c r="G14" s="6" t="inlineStr">
        <is>
          <t>Excessive Steering, Insufficient Steering</t>
        </is>
      </c>
      <c r="H14" s="6" t="inlineStr">
        <is>
          <t>LC-TGT-07, RD-09</t>
        </is>
      </c>
      <c r="I14" s="6">
        <f>IF(H14="",0,LEN(H14)-LEN(SUBSTITUTE(H14,",",""))+1)</f>
        <v/>
      </c>
      <c r="J14" s="6">
        <f>IF(I14&gt;0,"couvert","trou")</f>
        <v/>
      </c>
      <c r="K14" s="6" t="inlineStr"/>
    </row>
    <row r="15">
      <c r="A15" s="6" t="inlineStr">
        <is>
          <t>Highway</t>
        </is>
      </c>
      <c r="B15" s="6" t="inlineStr">
        <is>
          <t>HW-CRU</t>
        </is>
      </c>
      <c r="C15" s="6" t="inlineStr">
        <is>
          <t>Condition ODD</t>
        </is>
      </c>
      <c r="D15" s="6" t="inlineStr">
        <is>
          <t>Rain — Heavy / standing water</t>
        </is>
      </c>
      <c r="E15" s="6" t="n">
        <v>2</v>
      </c>
      <c r="F15" s="6" t="n"/>
      <c r="G15" s="6" t="inlineStr">
        <is>
          <t>Excessive Acceleration, Excessive Steering</t>
        </is>
      </c>
      <c r="H15" s="6" t="inlineStr"/>
      <c r="I15" s="6">
        <f>IF(H15="",0,LEN(H15)-LEN(SUBSTITUTE(H15,",",""))+1)</f>
        <v/>
      </c>
      <c r="J15" s="6">
        <f>IF(I15&gt;0,"couvert","trou")</f>
        <v/>
      </c>
      <c r="K15" s="6" t="inlineStr">
        <is>
          <t>non modélisé au jalon 1 (perception parfaite, adhérence)</t>
        </is>
      </c>
    </row>
    <row r="16">
      <c r="A16" s="6" t="inlineStr">
        <is>
          <t>Highway</t>
        </is>
      </c>
      <c r="B16" s="6" t="inlineStr">
        <is>
          <t>HW-CRU</t>
        </is>
      </c>
      <c r="C16" s="6" t="inlineStr">
        <is>
          <t>Condition ODD</t>
        </is>
      </c>
      <c r="D16" s="6" t="inlineStr">
        <is>
          <t>Rain — Light / Moderate (wet road)</t>
        </is>
      </c>
      <c r="E16" s="6" t="n">
        <v>2</v>
      </c>
      <c r="F16" s="6" t="n"/>
      <c r="G16" s="6" t="inlineStr">
        <is>
          <t>Excessive Acceleration, Excessive Steering</t>
        </is>
      </c>
      <c r="H16" s="6" t="inlineStr"/>
      <c r="I16" s="6">
        <f>IF(H16="",0,LEN(H16)-LEN(SUBSTITUTE(H16,",",""))+1)</f>
        <v/>
      </c>
      <c r="J16" s="6">
        <f>IF(I16&gt;0,"couvert","trou")</f>
        <v/>
      </c>
      <c r="K16" s="6" t="inlineStr">
        <is>
          <t>non modélisé au jalon 1 (perception parfaite, adhérence)</t>
        </is>
      </c>
    </row>
    <row r="17">
      <c r="A17" s="6" t="inlineStr">
        <is>
          <t>Highway</t>
        </is>
      </c>
      <c r="B17" s="6" t="inlineStr">
        <is>
          <t>HW-CRU</t>
        </is>
      </c>
      <c r="C17" s="6" t="inlineStr">
        <is>
          <t>Condition ODD</t>
        </is>
      </c>
      <c r="D17" s="6" t="inlineStr">
        <is>
          <t>Sun Angle — low sun / glare</t>
        </is>
      </c>
      <c r="E17" s="6" t="n">
        <v>3</v>
      </c>
      <c r="F17" s="6" t="n"/>
      <c r="G17" s="6" t="inlineStr">
        <is>
          <t>Insufficient Steering, No Steering, Steering too late</t>
        </is>
      </c>
      <c r="H17" s="6" t="inlineStr"/>
      <c r="I17" s="6">
        <f>IF(H17="",0,LEN(H17)-LEN(SUBSTITUTE(H17,",",""))+1)</f>
        <v/>
      </c>
      <c r="J17" s="6">
        <f>IF(I17&gt;0,"couvert","trou")</f>
        <v/>
      </c>
      <c r="K17" s="6" t="inlineStr">
        <is>
          <t>non modélisé au jalon 1 (perception parfaite, adhérence)</t>
        </is>
      </c>
    </row>
    <row r="18">
      <c r="A18" s="6" t="inlineStr">
        <is>
          <t>Highway</t>
        </is>
      </c>
      <c r="B18" s="6" t="inlineStr">
        <is>
          <t>HW-CRU</t>
        </is>
      </c>
      <c r="C18" s="6" t="inlineStr">
        <is>
          <t>Condition ODD</t>
        </is>
      </c>
      <c r="D18" s="6" t="inlineStr">
        <is>
          <t>Wind — strong crosswind / gusts</t>
        </is>
      </c>
      <c r="E18" s="6" t="n">
        <v>4</v>
      </c>
      <c r="F18" s="6" t="n"/>
      <c r="G18" s="6" t="inlineStr">
        <is>
          <t>Excessive Acceleration, Insufficient Steering, Steering too late</t>
        </is>
      </c>
      <c r="H18" s="6" t="inlineStr">
        <is>
          <t>RD-12</t>
        </is>
      </c>
      <c r="I18" s="6">
        <f>IF(H18="",0,LEN(H18)-LEN(SUBSTITUTE(H18,",",""))+1)</f>
        <v/>
      </c>
      <c r="J18" s="6">
        <f>IF(I18&gt;0,"couvert","trou")</f>
        <v/>
      </c>
      <c r="K18" s="6" t="inlineStr"/>
    </row>
    <row r="19">
      <c r="A19" s="6" t="inlineStr">
        <is>
          <t>Highway</t>
        </is>
      </c>
      <c r="B19" s="6" t="inlineStr">
        <is>
          <t>HW-CRU</t>
        </is>
      </c>
      <c r="C19" s="6" t="inlineStr">
        <is>
          <t>Condition ODD</t>
        </is>
      </c>
      <c r="D19" s="6" t="inlineStr">
        <is>
          <t>Work Zones</t>
        </is>
      </c>
      <c r="E19" s="6" t="n">
        <v>3</v>
      </c>
      <c r="F19" s="6" t="n"/>
      <c r="G19" s="6" t="inlineStr">
        <is>
          <t>Excessive Acceleration, No Steering, Steering too late</t>
        </is>
      </c>
      <c r="H19" s="6" t="inlineStr">
        <is>
          <t>LC-RD-02</t>
        </is>
      </c>
      <c r="I19" s="6">
        <f>IF(H19="",0,LEN(H19)-LEN(SUBSTITUTE(H19,",",""))+1)</f>
        <v/>
      </c>
      <c r="J19" s="6">
        <f>IF(I19&gt;0,"couvert","trou")</f>
        <v/>
      </c>
      <c r="K19" s="6" t="inlineStr"/>
    </row>
    <row r="20">
      <c r="A20" s="6" t="inlineStr">
        <is>
          <t>Highway</t>
        </is>
      </c>
      <c r="B20" s="6" t="inlineStr">
        <is>
          <t>HW-CRU</t>
        </is>
      </c>
      <c r="C20" s="6" t="inlineStr">
        <is>
          <t>Condition ODD</t>
        </is>
      </c>
      <c r="D20" s="6" t="inlineStr">
        <is>
          <t>[Out-of-ODD] Animal on roadway</t>
        </is>
      </c>
      <c r="E20" s="6" t="n">
        <v>3</v>
      </c>
      <c r="F20" s="6" t="n"/>
      <c r="G20" s="6" t="inlineStr">
        <is>
          <t>Deceleration too late, Excessive Steering, No Steering</t>
        </is>
      </c>
      <c r="H20" s="6" t="inlineStr">
        <is>
          <t>OBJ-04</t>
        </is>
      </c>
      <c r="I20" s="6">
        <f>IF(H20="",0,LEN(H20)-LEN(SUBSTITUTE(H20,",",""))+1)</f>
        <v/>
      </c>
      <c r="J20" s="6">
        <f>IF(I20&gt;0,"couvert","trou")</f>
        <v/>
      </c>
      <c r="K20" s="6" t="inlineStr"/>
    </row>
    <row r="21">
      <c r="A21" s="6" t="inlineStr">
        <is>
          <t>Highway</t>
        </is>
      </c>
      <c r="B21" s="6" t="inlineStr">
        <is>
          <t>HW-CRU</t>
        </is>
      </c>
      <c r="C21" s="6" t="inlineStr">
        <is>
          <t>Condition ODD</t>
        </is>
      </c>
      <c r="D21" s="6" t="inlineStr">
        <is>
          <t>[Out-of-ODD] Crash scene / accident debris ahead</t>
        </is>
      </c>
      <c r="E21" s="6" t="n">
        <v>2</v>
      </c>
      <c r="F21" s="6" t="n"/>
      <c r="G21" s="6" t="inlineStr">
        <is>
          <t>Excessive Deceleration, No Deceleration</t>
        </is>
      </c>
      <c r="H21" s="6" t="inlineStr">
        <is>
          <t>LC-OOD-04</t>
        </is>
      </c>
      <c r="I21" s="6">
        <f>IF(H21="",0,LEN(H21)-LEN(SUBSTITUTE(H21,",",""))+1)</f>
        <v/>
      </c>
      <c r="J21" s="6">
        <f>IF(I21&gt;0,"couvert","trou")</f>
        <v/>
      </c>
      <c r="K21" s="6" t="inlineStr"/>
    </row>
    <row r="22">
      <c r="A22" s="6" t="inlineStr">
        <is>
          <t>Highway</t>
        </is>
      </c>
      <c r="B22" s="6" t="inlineStr">
        <is>
          <t>HW-CRU</t>
        </is>
      </c>
      <c r="C22" s="6" t="inlineStr">
        <is>
          <t>Condition ODD</t>
        </is>
      </c>
      <c r="D22" s="6" t="inlineStr">
        <is>
          <t>[Out-of-ODD] Disabled / stopped vehicle in lane or shoulder</t>
        </is>
      </c>
      <c r="E22" s="6" t="n">
        <v>2</v>
      </c>
      <c r="F22" s="6" t="n"/>
      <c r="G22" s="6" t="inlineStr">
        <is>
          <t>Deceleration too late, No Steering</t>
        </is>
      </c>
      <c r="H22" s="6" t="inlineStr">
        <is>
          <t>LV-05, ADJ-07, LC-CUR-02, LC-OOD-01, LC-OOD-04, LC-REF-01, OBJ-03, OBJ-05</t>
        </is>
      </c>
      <c r="I22" s="6">
        <f>IF(H22="",0,LEN(H22)-LEN(SUBSTITUTE(H22,",",""))+1)</f>
        <v/>
      </c>
      <c r="J22" s="6">
        <f>IF(I22&gt;0,"couvert","trou")</f>
        <v/>
      </c>
      <c r="K22" s="6" t="inlineStr"/>
    </row>
    <row r="23">
      <c r="A23" s="6" t="inlineStr">
        <is>
          <t>Highway</t>
        </is>
      </c>
      <c r="B23" s="6" t="inlineStr">
        <is>
          <t>HW-CRU</t>
        </is>
      </c>
      <c r="C23" s="6" t="inlineStr">
        <is>
          <t>Condition ODD</t>
        </is>
      </c>
      <c r="D23" s="6" t="inlineStr">
        <is>
          <t>[Out-of-ODD] EMV present (shoulder / in-lane)</t>
        </is>
      </c>
      <c r="E23" s="6" t="n">
        <v>2</v>
      </c>
      <c r="F23" s="6" t="n"/>
      <c r="G23" s="6" t="inlineStr">
        <is>
          <t>No Deceleration, No Steering</t>
        </is>
      </c>
      <c r="H23" s="6" t="inlineStr">
        <is>
          <t>EMV-06, LC-OOD-01, LC-OOD-02, LC-OOD-04</t>
        </is>
      </c>
      <c r="I23" s="6">
        <f>IF(H23="",0,LEN(H23)-LEN(SUBSTITUTE(H23,",",""))+1)</f>
        <v/>
      </c>
      <c r="J23" s="6">
        <f>IF(I23&gt;0,"couvert","trou")</f>
        <v/>
      </c>
      <c r="K23" s="6" t="inlineStr"/>
    </row>
    <row r="24">
      <c r="A24" s="6" t="inlineStr">
        <is>
          <t>Highway</t>
        </is>
      </c>
      <c r="B24" s="6" t="inlineStr">
        <is>
          <t>HW-CRU</t>
        </is>
      </c>
      <c r="C24" s="6" t="inlineStr">
        <is>
          <t>Condition ODD</t>
        </is>
      </c>
      <c r="D24" s="6" t="inlineStr">
        <is>
          <t>[Out-of-ODD] Road workers / people in roadway</t>
        </is>
      </c>
      <c r="E24" s="6" t="n">
        <v>4</v>
      </c>
      <c r="F24" s="6" t="n"/>
      <c r="G24" s="6" t="inlineStr">
        <is>
          <t>Deceleration too late, Excessive Steering, No Deceleration, No Horn</t>
        </is>
      </c>
      <c r="H24" s="6" t="inlineStr">
        <is>
          <t>OBJ-05</t>
        </is>
      </c>
      <c r="I24" s="6">
        <f>IF(H24="",0,LEN(H24)-LEN(SUBSTITUTE(H24,",",""))+1)</f>
        <v/>
      </c>
      <c r="J24" s="6">
        <f>IF(I24&gt;0,"couvert","trou")</f>
        <v/>
      </c>
      <c r="K24" s="6" t="inlineStr"/>
    </row>
    <row r="25">
      <c r="A25" s="6" t="inlineStr">
        <is>
          <t>Highway</t>
        </is>
      </c>
      <c r="B25" s="6" t="inlineStr">
        <is>
          <t>HW-CRU</t>
        </is>
      </c>
      <c r="C25" s="6" t="inlineStr">
        <is>
          <t>Condition ODD</t>
        </is>
      </c>
      <c r="D25" s="6" t="inlineStr">
        <is>
          <t>[Out-of-ODD] Sudden object intrusion</t>
        </is>
      </c>
      <c r="E25" s="6" t="n">
        <v>1</v>
      </c>
      <c r="F25" s="6" t="n"/>
      <c r="G25" s="6" t="inlineStr">
        <is>
          <t>Excessive Steering</t>
        </is>
      </c>
      <c r="H25" s="6" t="inlineStr">
        <is>
          <t>OBJ-06</t>
        </is>
      </c>
      <c r="I25" s="6">
        <f>IF(H25="",0,LEN(H25)-LEN(SUBSTITUTE(H25,",",""))+1)</f>
        <v/>
      </c>
      <c r="J25" s="6">
        <f>IF(I25&gt;0,"couvert","trou")</f>
        <v/>
      </c>
      <c r="K25" s="6" t="inlineStr"/>
    </row>
    <row r="26">
      <c r="A26" s="6" t="inlineStr">
        <is>
          <t>Highway</t>
        </is>
      </c>
      <c r="B26" s="6" t="inlineStr">
        <is>
          <t>HW-CRU</t>
        </is>
      </c>
      <c r="C26" s="6" t="inlineStr">
        <is>
          <t>Condition ODD</t>
        </is>
      </c>
      <c r="D26" s="6" t="inlineStr">
        <is>
          <t>[Out-of-ODD] Tire debris / blown tire / lost cargo</t>
        </is>
      </c>
      <c r="E26" s="6" t="n">
        <v>2</v>
      </c>
      <c r="F26" s="6" t="n"/>
      <c r="G26" s="6" t="inlineStr">
        <is>
          <t>Excessive Steering, No Steering</t>
        </is>
      </c>
      <c r="H26" s="6" t="inlineStr">
        <is>
          <t>LC-CUR-02, OBJ-01, OBJ-06</t>
        </is>
      </c>
      <c r="I26" s="6">
        <f>IF(H26="",0,LEN(H26)-LEN(SUBSTITUTE(H26,",",""))+1)</f>
        <v/>
      </c>
      <c r="J26" s="6">
        <f>IF(I26&gt;0,"couvert","trou")</f>
        <v/>
      </c>
      <c r="K26" s="6" t="inlineStr"/>
    </row>
    <row r="27">
      <c r="A27" s="6" t="inlineStr">
        <is>
          <t>Highway</t>
        </is>
      </c>
      <c r="B27" s="6" t="inlineStr">
        <is>
          <t>HW-CSS</t>
        </is>
      </c>
      <c r="C27" s="6" t="inlineStr">
        <is>
          <t>Hazard</t>
        </is>
      </c>
      <c r="D27" s="6" t="inlineStr">
        <is>
          <t>H1 Side collision</t>
        </is>
      </c>
      <c r="E27" s="6" t="n">
        <v>14</v>
      </c>
      <c r="F27" s="6" t="n">
        <v>14</v>
      </c>
      <c r="G27" s="6" t="inlineStr">
        <is>
          <t>Excessive Steering, Insufficient Steering, No Steering, No Turn Signal, Steering for too long / stuck, Steering in opposite direction, Unintended Steering</t>
        </is>
      </c>
      <c r="H27" s="6" t="inlineStr">
        <is>
          <t>RD-11, RD-13, EMV-03, EMV-04, LC-OOD-02, LC-OOD-04, OBJ-02, OBJ-05, AB-02, AB-03, LC-ABT-02, FB-01, FB-03, FB-08</t>
        </is>
      </c>
      <c r="I27" s="6">
        <f>IF(H27="",0,LEN(H27)-LEN(SUBSTITUTE(H27,",",""))+1)</f>
        <v/>
      </c>
      <c r="J27" s="6">
        <f>IF(I27&gt;0,"couvert","trou")</f>
        <v/>
      </c>
      <c r="K27" s="6" t="inlineStr"/>
    </row>
    <row r="28">
      <c r="A28" s="6" t="inlineStr">
        <is>
          <t>Highway</t>
        </is>
      </c>
      <c r="B28" s="6" t="inlineStr">
        <is>
          <t>HW-CSS</t>
        </is>
      </c>
      <c r="C28" s="6" t="inlineStr">
        <is>
          <t>Hazard</t>
        </is>
      </c>
      <c r="D28" s="6" t="inlineStr">
        <is>
          <t>H2 Front collision</t>
        </is>
      </c>
      <c r="E28" s="6" t="n">
        <v>9</v>
      </c>
      <c r="F28" s="6" t="n">
        <v>9</v>
      </c>
      <c r="G28" s="6" t="inlineStr">
        <is>
          <t>Excessive Acceleration, Insufficient Deceleration, No Deceleration, No Steering, Unintended Acceleration, Unintended Steering</t>
        </is>
      </c>
      <c r="H28" s="6" t="inlineStr">
        <is>
          <t>RMP-10, RD-13, EMV-03, LC-OOD-02, LC-OOD-04, OBJ-02, OBJ-05, AB-01, LC-ABT-02, FB-03</t>
        </is>
      </c>
      <c r="I28" s="6">
        <f>IF(H28="",0,LEN(H28)-LEN(SUBSTITUTE(H28,",",""))+1)</f>
        <v/>
      </c>
      <c r="J28" s="6">
        <f>IF(I28&gt;0,"couvert","trou")</f>
        <v/>
      </c>
      <c r="K28" s="6" t="inlineStr"/>
    </row>
    <row r="29">
      <c r="A29" s="6" t="inlineStr">
        <is>
          <t>Highway</t>
        </is>
      </c>
      <c r="B29" s="6" t="inlineStr">
        <is>
          <t>HW-CSS</t>
        </is>
      </c>
      <c r="C29" s="6" t="inlineStr">
        <is>
          <t>Hazard</t>
        </is>
      </c>
      <c r="D29" s="6" t="inlineStr">
        <is>
          <t>H3 Rear-end by follower</t>
        </is>
      </c>
      <c r="E29" s="6" t="n">
        <v>11</v>
      </c>
      <c r="F29" s="6" t="n">
        <v>11</v>
      </c>
      <c r="G29" s="6" t="inlineStr">
        <is>
          <t>Excessive Deceleration, Hazard Lights too late, No Acceleration, No Steering, Unintended Deceleration</t>
        </is>
      </c>
      <c r="H29" s="6" t="inlineStr">
        <is>
          <t>RD-11, RD-13, EMV-03, EMV-04, LC-OOD-02, LC-OOD-04, OBJ-02, OBJ-05, AB-02, AB-03, LC-ABT-02, FB-01, FB-03, FB-08</t>
        </is>
      </c>
      <c r="I29" s="6">
        <f>IF(H29="",0,LEN(H29)-LEN(SUBSTITUTE(H29,",",""))+1)</f>
        <v/>
      </c>
      <c r="J29" s="6">
        <f>IF(I29&gt;0,"couvert","trou")</f>
        <v/>
      </c>
      <c r="K29" s="6" t="inlineStr"/>
    </row>
    <row r="30">
      <c r="A30" s="6" t="inlineStr">
        <is>
          <t>Highway</t>
        </is>
      </c>
      <c r="B30" s="6" t="inlineStr">
        <is>
          <t>HW-CSS</t>
        </is>
      </c>
      <c r="C30" s="6" t="inlineStr">
        <is>
          <t>Hazard</t>
        </is>
      </c>
      <c r="D30" s="6" t="inlineStr">
        <is>
          <t>H4 Intent not communicated</t>
        </is>
      </c>
      <c r="E30" s="6" t="n">
        <v>7</v>
      </c>
      <c r="F30" s="6" t="n">
        <v>7</v>
      </c>
      <c r="G30" s="6" t="inlineStr">
        <is>
          <t>No Hazard Lights, Unintended Hazard Lights, Unintended Turn Signal</t>
        </is>
      </c>
      <c r="H30" s="6" t="inlineStr">
        <is>
          <t>RD-11, RD-13, EMV-03, EMV-04, LC-OOD-02, LC-OOD-04, OBJ-02, OBJ-05, AB-02, AB-03, LC-ABT-02, FB-01, FB-03</t>
        </is>
      </c>
      <c r="I30" s="6">
        <f>IF(H30="",0,LEN(H30)-LEN(SUBSTITUTE(H30,",",""))+1)</f>
        <v/>
      </c>
      <c r="J30" s="6">
        <f>IF(I30&gt;0,"couvert","trou")</f>
        <v/>
      </c>
      <c r="K30" s="6" t="inlineStr"/>
    </row>
    <row r="31">
      <c r="A31" s="6" t="inlineStr">
        <is>
          <t>Highway</t>
        </is>
      </c>
      <c r="B31" s="6" t="inlineStr">
        <is>
          <t>HW-CSS</t>
        </is>
      </c>
      <c r="C31" s="6" t="inlineStr">
        <is>
          <t>Hazard</t>
        </is>
      </c>
      <c r="D31" s="6" t="inlineStr">
        <is>
          <t>H5 Loss of stability / control</t>
        </is>
      </c>
      <c r="E31" s="6" t="n">
        <v>5</v>
      </c>
      <c r="F31" s="6" t="n">
        <v>5</v>
      </c>
      <c r="G31" s="6" t="inlineStr">
        <is>
          <t>Excessive Deceleration, Insufficient Deceleration, No Deceleration, Unintended Deceleration</t>
        </is>
      </c>
      <c r="H31" s="6" t="inlineStr">
        <is>
          <t>RD-13, LC-ABT-02, FB-01</t>
        </is>
      </c>
      <c r="I31" s="6">
        <f>IF(H31="",0,LEN(H31)-LEN(SUBSTITUTE(H31,",",""))+1)</f>
        <v/>
      </c>
      <c r="J31" s="6">
        <f>IF(I31&gt;0,"couvert","trou")</f>
        <v/>
      </c>
      <c r="K31" s="6" t="inlineStr"/>
    </row>
    <row r="32">
      <c r="A32" s="6" t="inlineStr">
        <is>
          <t>Highway</t>
        </is>
      </c>
      <c r="B32" s="6" t="inlineStr">
        <is>
          <t>HW-CSS</t>
        </is>
      </c>
      <c r="C32" s="6" t="inlineStr">
        <is>
          <t>Condition ODD</t>
        </is>
      </c>
      <c r="D32" s="6" t="inlineStr">
        <is>
          <t>Shoulder — absent (no shoulder)</t>
        </is>
      </c>
      <c r="E32" s="6" t="n">
        <v>2</v>
      </c>
      <c r="F32" s="6" t="n">
        <v>2</v>
      </c>
      <c r="G32" s="6" t="inlineStr">
        <is>
          <t>No Steering, Unintended Steering</t>
        </is>
      </c>
      <c r="H32" s="6" t="inlineStr">
        <is>
          <t>RD-11, LC-ABT-02</t>
        </is>
      </c>
      <c r="I32" s="6">
        <f>IF(H32="",0,LEN(H32)-LEN(SUBSTITUTE(H32,",",""))+1)</f>
        <v/>
      </c>
      <c r="J32" s="6">
        <f>IF(I32&gt;0,"couvert","trou")</f>
        <v/>
      </c>
      <c r="K32" s="6" t="inlineStr"/>
    </row>
    <row r="33">
      <c r="A33" s="6" t="inlineStr">
        <is>
          <t>Highway</t>
        </is>
      </c>
      <c r="B33" s="6" t="inlineStr">
        <is>
          <t>HW-CSS</t>
        </is>
      </c>
      <c r="C33" s="6" t="inlineStr">
        <is>
          <t>Condition ODD</t>
        </is>
      </c>
      <c r="D33" s="6" t="inlineStr">
        <is>
          <t>Slope — steep grade (up to ±8 %)</t>
        </is>
      </c>
      <c r="E33" s="6" t="n">
        <v>1</v>
      </c>
      <c r="F33" s="6" t="n">
        <v>1</v>
      </c>
      <c r="G33" s="6" t="inlineStr">
        <is>
          <t>Insufficient Deceleration</t>
        </is>
      </c>
      <c r="H33" s="6" t="inlineStr">
        <is>
          <t>RD-13</t>
        </is>
      </c>
      <c r="I33" s="6">
        <f>IF(H33="",0,LEN(H33)-LEN(SUBSTITUTE(H33,",",""))+1)</f>
        <v/>
      </c>
      <c r="J33" s="6">
        <f>IF(I33&gt;0,"couvert","trou")</f>
        <v/>
      </c>
      <c r="K33" s="6" t="inlineStr"/>
    </row>
    <row r="34">
      <c r="A34" s="6" t="inlineStr">
        <is>
          <t>Highway</t>
        </is>
      </c>
      <c r="B34" s="6" t="inlineStr">
        <is>
          <t>HW-CSS</t>
        </is>
      </c>
      <c r="C34" s="6" t="inlineStr">
        <is>
          <t>Condition ODD</t>
        </is>
      </c>
      <c r="D34" s="6" t="inlineStr">
        <is>
          <t>[Out-of-ODD] Crash scene / accident debris ahead</t>
        </is>
      </c>
      <c r="E34" s="6" t="n">
        <v>2</v>
      </c>
      <c r="F34" s="6" t="n">
        <v>2</v>
      </c>
      <c r="G34" s="6" t="inlineStr">
        <is>
          <t>No Steering, Unintended Steering</t>
        </is>
      </c>
      <c r="H34" s="6" t="inlineStr">
        <is>
          <t>LC-OOD-04</t>
        </is>
      </c>
      <c r="I34" s="6">
        <f>IF(H34="",0,LEN(H34)-LEN(SUBSTITUTE(H34,",",""))+1)</f>
        <v/>
      </c>
      <c r="J34" s="6">
        <f>IF(I34&gt;0,"couvert","trou")</f>
        <v/>
      </c>
      <c r="K34" s="6" t="inlineStr"/>
    </row>
    <row r="35">
      <c r="A35" s="6" t="inlineStr">
        <is>
          <t>Highway</t>
        </is>
      </c>
      <c r="B35" s="6" t="inlineStr">
        <is>
          <t>HW-CSS</t>
        </is>
      </c>
      <c r="C35" s="6" t="inlineStr">
        <is>
          <t>Condition ODD</t>
        </is>
      </c>
      <c r="D35" s="6" t="inlineStr">
        <is>
          <t>[Out-of-ODD] Disabled / stopped vehicle in lane or shoulder</t>
        </is>
      </c>
      <c r="E35" s="6" t="n">
        <v>4</v>
      </c>
      <c r="F35" s="6" t="n">
        <v>4</v>
      </c>
      <c r="G35" s="6" t="inlineStr">
        <is>
          <t>No Steering, Unintended Steering</t>
        </is>
      </c>
      <c r="H35" s="6" t="inlineStr">
        <is>
          <t>LC-OOD-04, OBJ-02, OBJ-05, FB-03</t>
        </is>
      </c>
      <c r="I35" s="6">
        <f>IF(H35="",0,LEN(H35)-LEN(SUBSTITUTE(H35,",",""))+1)</f>
        <v/>
      </c>
      <c r="J35" s="6">
        <f>IF(I35&gt;0,"couvert","trou")</f>
        <v/>
      </c>
      <c r="K35" s="6" t="inlineStr"/>
    </row>
    <row r="36">
      <c r="A36" s="6" t="inlineStr">
        <is>
          <t>Highway</t>
        </is>
      </c>
      <c r="B36" s="6" t="inlineStr">
        <is>
          <t>HW-CSS</t>
        </is>
      </c>
      <c r="C36" s="6" t="inlineStr">
        <is>
          <t>Condition ODD</t>
        </is>
      </c>
      <c r="D36" s="6" t="inlineStr">
        <is>
          <t>[Out-of-ODD] Tire debris / blown tire / lost cargo</t>
        </is>
      </c>
      <c r="E36" s="6" t="n">
        <v>1</v>
      </c>
      <c r="F36" s="6" t="n">
        <v>1</v>
      </c>
      <c r="G36" s="6" t="inlineStr">
        <is>
          <t>No Deceleration</t>
        </is>
      </c>
      <c r="H36" s="6" t="inlineStr">
        <is>
          <t>OBJ-02</t>
        </is>
      </c>
      <c r="I36" s="6">
        <f>IF(H36="",0,LEN(H36)-LEN(SUBSTITUTE(H36,",",""))+1)</f>
        <v/>
      </c>
      <c r="J36" s="6">
        <f>IF(I36&gt;0,"couvert","trou")</f>
        <v/>
      </c>
      <c r="K36" s="6" t="inlineStr"/>
    </row>
    <row r="37">
      <c r="A37" s="6" t="inlineStr">
        <is>
          <t>Highway</t>
        </is>
      </c>
      <c r="B37" s="6" t="inlineStr">
        <is>
          <t>HW-ELM</t>
        </is>
      </c>
      <c r="C37" s="6" t="inlineStr">
        <is>
          <t>Hazard</t>
        </is>
      </c>
      <c r="D37" s="6" t="inlineStr">
        <is>
          <t>H1 Side collision</t>
        </is>
      </c>
      <c r="E37" s="6" t="n">
        <v>12</v>
      </c>
      <c r="F37" s="6" t="n">
        <v>12</v>
      </c>
      <c r="G37" s="6" t="inlineStr">
        <is>
          <t>Excessive Steering, Insufficient Steering, No Steering, Steering for too long / stuck, Steering in opposite direction, Unintended Steering</t>
        </is>
      </c>
      <c r="H37" s="6" t="inlineStr">
        <is>
          <t>LV-04, LV-05, ADJ-01, LC-CUR-02, OBJ-02, OBJ-04, OBJ-06, FB-05, FB-06</t>
        </is>
      </c>
      <c r="I37" s="6">
        <f>IF(H37="",0,LEN(H37)-LEN(SUBSTITUTE(H37,",",""))+1)</f>
        <v/>
      </c>
      <c r="J37" s="6">
        <f>IF(I37&gt;0,"couvert","trou")</f>
        <v/>
      </c>
      <c r="K37" s="6" t="inlineStr"/>
    </row>
    <row r="38">
      <c r="A38" s="6" t="inlineStr">
        <is>
          <t>Highway</t>
        </is>
      </c>
      <c r="B38" s="6" t="inlineStr">
        <is>
          <t>HW-ELM</t>
        </is>
      </c>
      <c r="C38" s="6" t="inlineStr">
        <is>
          <t>Hazard</t>
        </is>
      </c>
      <c r="D38" s="6" t="inlineStr">
        <is>
          <t>H2 Front collision</t>
        </is>
      </c>
      <c r="E38" s="6" t="n">
        <v>4</v>
      </c>
      <c r="F38" s="6" t="n">
        <v>4</v>
      </c>
      <c r="G38" s="6" t="inlineStr">
        <is>
          <t>Excessive Acceleration, No Deceleration, Unintended Acceleration</t>
        </is>
      </c>
      <c r="H38" s="6" t="inlineStr">
        <is>
          <t>LV-04, LV-05, LC-CUR-02, OBJ-02, OBJ-04, OBJ-06, AB-01, FB-05, FB-06</t>
        </is>
      </c>
      <c r="I38" s="6">
        <f>IF(H38="",0,LEN(H38)-LEN(SUBSTITUTE(H38,",",""))+1)</f>
        <v/>
      </c>
      <c r="J38" s="6">
        <f>IF(I38&gt;0,"couvert","trou")</f>
        <v/>
      </c>
      <c r="K38" s="6" t="inlineStr"/>
    </row>
    <row r="39">
      <c r="A39" s="6" t="inlineStr">
        <is>
          <t>Highway</t>
        </is>
      </c>
      <c r="B39" s="6" t="inlineStr">
        <is>
          <t>HW-ELM</t>
        </is>
      </c>
      <c r="C39" s="6" t="inlineStr">
        <is>
          <t>Hazard</t>
        </is>
      </c>
      <c r="D39" s="6" t="inlineStr">
        <is>
          <t>H3 Rear-end by follower</t>
        </is>
      </c>
      <c r="E39" s="6" t="n">
        <v>7</v>
      </c>
      <c r="F39" s="6" t="n">
        <v>7</v>
      </c>
      <c r="G39" s="6" t="inlineStr">
        <is>
          <t>Excessive Deceleration, Hazard Lights too late, No Acceleration, Unintended Deceleration</t>
        </is>
      </c>
      <c r="H39" s="6" t="inlineStr">
        <is>
          <t>LV-04, LV-05, LC-CUR-02, OBJ-02, OBJ-04, OBJ-06, FB-05, FB-06</t>
        </is>
      </c>
      <c r="I39" s="6">
        <f>IF(H39="",0,LEN(H39)-LEN(SUBSTITUTE(H39,",",""))+1)</f>
        <v/>
      </c>
      <c r="J39" s="6">
        <f>IF(I39&gt;0,"couvert","trou")</f>
        <v/>
      </c>
      <c r="K39" s="6" t="inlineStr"/>
    </row>
    <row r="40">
      <c r="A40" s="6" t="inlineStr">
        <is>
          <t>Highway</t>
        </is>
      </c>
      <c r="B40" s="6" t="inlineStr">
        <is>
          <t>HW-ELM</t>
        </is>
      </c>
      <c r="C40" s="6" t="inlineStr">
        <is>
          <t>Hazard</t>
        </is>
      </c>
      <c r="D40" s="6" t="inlineStr">
        <is>
          <t>H4 Intent not communicated</t>
        </is>
      </c>
      <c r="E40" s="6" t="n">
        <v>4</v>
      </c>
      <c r="F40" s="6" t="n">
        <v>4</v>
      </c>
      <c r="G40" s="6" t="inlineStr">
        <is>
          <t>No Hazard Lights, Unintended Hazard Lights</t>
        </is>
      </c>
      <c r="H40" s="6" t="inlineStr">
        <is>
          <t>LV-04, LV-05, ADJ-01, LC-CUR-02, OBJ-02, OBJ-04, OBJ-06, FB-05, FB-06</t>
        </is>
      </c>
      <c r="I40" s="6">
        <f>IF(H40="",0,LEN(H40)-LEN(SUBSTITUTE(H40,",",""))+1)</f>
        <v/>
      </c>
      <c r="J40" s="6">
        <f>IF(I40&gt;0,"couvert","trou")</f>
        <v/>
      </c>
      <c r="K40" s="6" t="inlineStr"/>
    </row>
    <row r="41">
      <c r="A41" s="6" t="inlineStr">
        <is>
          <t>Highway</t>
        </is>
      </c>
      <c r="B41" s="6" t="inlineStr">
        <is>
          <t>HW-ELM</t>
        </is>
      </c>
      <c r="C41" s="6" t="inlineStr">
        <is>
          <t>Hazard</t>
        </is>
      </c>
      <c r="D41" s="6" t="inlineStr">
        <is>
          <t>H5 Loss of stability / control</t>
        </is>
      </c>
      <c r="E41" s="6" t="n">
        <v>4</v>
      </c>
      <c r="F41" s="6" t="n">
        <v>4</v>
      </c>
      <c r="G41" s="6" t="inlineStr">
        <is>
          <t>Excessive Deceleration, Insufficient Deceleration, No Deceleration, Unintended Deceleration</t>
        </is>
      </c>
      <c r="H41" s="6" t="inlineStr">
        <is>
          <t>LV-04, LV-05, LC-CUR-02, OBJ-02, OBJ-04, OBJ-06, FB-05, FB-06</t>
        </is>
      </c>
      <c r="I41" s="6">
        <f>IF(H41="",0,LEN(H41)-LEN(SUBSTITUTE(H41,",",""))+1)</f>
        <v/>
      </c>
      <c r="J41" s="6">
        <f>IF(I41&gt;0,"couvert","trou")</f>
        <v/>
      </c>
      <c r="K41" s="6" t="inlineStr"/>
    </row>
    <row r="42">
      <c r="A42" s="6" t="inlineStr">
        <is>
          <t>Highway</t>
        </is>
      </c>
      <c r="B42" s="6" t="inlineStr">
        <is>
          <t>HW-ESL</t>
        </is>
      </c>
      <c r="C42" s="6" t="inlineStr">
        <is>
          <t>Hazard</t>
        </is>
      </c>
      <c r="D42" s="6" t="inlineStr">
        <is>
          <t>H1 Side collision</t>
        </is>
      </c>
      <c r="E42" s="6" t="n">
        <v>12</v>
      </c>
      <c r="F42" s="6" t="n">
        <v>12</v>
      </c>
      <c r="G42" s="6" t="inlineStr">
        <is>
          <t>Excessive Steering, Insufficient Steering, No Steering, Steering for too long / stuck, Steering in opposite direction, Unintended Steering</t>
        </is>
      </c>
      <c r="H42" s="6" t="inlineStr">
        <is>
          <t>CI-02, LC-CUR-02, EMV-05, LC-OOD-04, OBJ-02, OBJ-05, LC-ABT-02</t>
        </is>
      </c>
      <c r="I42" s="6">
        <f>IF(H42="",0,LEN(H42)-LEN(SUBSTITUTE(H42,",",""))+1)</f>
        <v/>
      </c>
      <c r="J42" s="6">
        <f>IF(I42&gt;0,"couvert","trou")</f>
        <v/>
      </c>
      <c r="K42" s="6" t="inlineStr"/>
    </row>
    <row r="43">
      <c r="A43" s="6" t="inlineStr">
        <is>
          <t>Highway</t>
        </is>
      </c>
      <c r="B43" s="6" t="inlineStr">
        <is>
          <t>HW-ESL</t>
        </is>
      </c>
      <c r="C43" s="6" t="inlineStr">
        <is>
          <t>Hazard</t>
        </is>
      </c>
      <c r="D43" s="6" t="inlineStr">
        <is>
          <t>H2 Front collision</t>
        </is>
      </c>
      <c r="E43" s="6" t="n">
        <v>4</v>
      </c>
      <c r="F43" s="6" t="n">
        <v>4</v>
      </c>
      <c r="G43" s="6" t="inlineStr">
        <is>
          <t>Excessive Acceleration, No Deceleration, Unintended Acceleration</t>
        </is>
      </c>
      <c r="H43" s="6" t="inlineStr">
        <is>
          <t>LV-04, LV-05, LV-10, CI-02, CI-07, LC-CUR-02, RD-13, EMV-05, LC-OOD-04, OBJ-02, OBJ-04, OBJ-05, OBJ-06, AB-01, LC-ABT-02</t>
        </is>
      </c>
      <c r="I43" s="6">
        <f>IF(H43="",0,LEN(H43)-LEN(SUBSTITUTE(H43,",",""))+1)</f>
        <v/>
      </c>
      <c r="J43" s="6">
        <f>IF(I43&gt;0,"couvert","trou")</f>
        <v/>
      </c>
      <c r="K43" s="6" t="inlineStr"/>
    </row>
    <row r="44">
      <c r="A44" s="6" t="inlineStr">
        <is>
          <t>Highway</t>
        </is>
      </c>
      <c r="B44" s="6" t="inlineStr">
        <is>
          <t>HW-ESL</t>
        </is>
      </c>
      <c r="C44" s="6" t="inlineStr">
        <is>
          <t>Hazard</t>
        </is>
      </c>
      <c r="D44" s="6" t="inlineStr">
        <is>
          <t>H3 Rear-end by follower</t>
        </is>
      </c>
      <c r="E44" s="6" t="n">
        <v>10</v>
      </c>
      <c r="F44" s="6" t="n">
        <v>10</v>
      </c>
      <c r="G44" s="6" t="inlineStr">
        <is>
          <t>Deceleration for too long / stuck, Excessive Deceleration, Hazard Lights too late, No Acceleration, Unintended Deceleration</t>
        </is>
      </c>
      <c r="H44" s="6" t="inlineStr">
        <is>
          <t>LV-04, LV-05, LV-10, CI-02, CI-07, LC-CUR-02, RD-11, RD-13, EMV-05, LC-OOD-04, OBJ-02, OBJ-04, OBJ-05, OBJ-06, AB-02, LC-ABT-02, FB-02, FB-04, FB-07</t>
        </is>
      </c>
      <c r="I44" s="6">
        <f>IF(H44="",0,LEN(H44)-LEN(SUBSTITUTE(H44,",",""))+1)</f>
        <v/>
      </c>
      <c r="J44" s="6">
        <f>IF(I44&gt;0,"couvert","trou")</f>
        <v/>
      </c>
      <c r="K44" s="6" t="inlineStr"/>
    </row>
    <row r="45">
      <c r="A45" s="6" t="inlineStr">
        <is>
          <t>Highway</t>
        </is>
      </c>
      <c r="B45" s="6" t="inlineStr">
        <is>
          <t>HW-ESL</t>
        </is>
      </c>
      <c r="C45" s="6" t="inlineStr">
        <is>
          <t>Hazard</t>
        </is>
      </c>
      <c r="D45" s="6" t="inlineStr">
        <is>
          <t>H4 Intent not communicated</t>
        </is>
      </c>
      <c r="E45" s="6" t="n">
        <v>7</v>
      </c>
      <c r="F45" s="6" t="n">
        <v>7</v>
      </c>
      <c r="G45" s="6" t="inlineStr">
        <is>
          <t>No Hazard Lights, Unintended Hazard Lights, Unintended Turn Signal</t>
        </is>
      </c>
      <c r="H45" s="6" t="inlineStr">
        <is>
          <t>LV-04, LV-05, LV-10, CI-02, CI-07, LC-CUR-02, RD-11, RD-13, EMV-05, LC-OOD-04, OBJ-02, OBJ-04, OBJ-05, OBJ-06, AB-02, LC-ABT-02, FB-02, FB-04, FB-07</t>
        </is>
      </c>
      <c r="I45" s="6">
        <f>IF(H45="",0,LEN(H45)-LEN(SUBSTITUTE(H45,",",""))+1)</f>
        <v/>
      </c>
      <c r="J45" s="6">
        <f>IF(I45&gt;0,"couvert","trou")</f>
        <v/>
      </c>
      <c r="K45" s="6" t="inlineStr"/>
    </row>
    <row r="46">
      <c r="A46" s="6" t="inlineStr">
        <is>
          <t>Highway</t>
        </is>
      </c>
      <c r="B46" s="6" t="inlineStr">
        <is>
          <t>HW-ESL</t>
        </is>
      </c>
      <c r="C46" s="6" t="inlineStr">
        <is>
          <t>Hazard</t>
        </is>
      </c>
      <c r="D46" s="6" t="inlineStr">
        <is>
          <t>H5 Loss of stability / control</t>
        </is>
      </c>
      <c r="E46" s="6" t="n">
        <v>4</v>
      </c>
      <c r="F46" s="6" t="n">
        <v>4</v>
      </c>
      <c r="G46" s="6" t="inlineStr">
        <is>
          <t>Excessive Deceleration, Insufficient Deceleration, No Deceleration, Unintended Deceleration</t>
        </is>
      </c>
      <c r="H46" s="6" t="inlineStr">
        <is>
          <t>RD-13, OBJ-04, LC-ABT-02, FB-02, FB-07</t>
        </is>
      </c>
      <c r="I46" s="6">
        <f>IF(H46="",0,LEN(H46)-LEN(SUBSTITUTE(H46,",",""))+1)</f>
        <v/>
      </c>
      <c r="J46" s="6">
        <f>IF(I46&gt;0,"couvert","trou")</f>
        <v/>
      </c>
      <c r="K46" s="6" t="inlineStr"/>
    </row>
    <row r="47">
      <c r="A47" s="6" t="inlineStr">
        <is>
          <t>Highway</t>
        </is>
      </c>
      <c r="B47" s="6" t="inlineStr">
        <is>
          <t>HW-ESL</t>
        </is>
      </c>
      <c r="C47" s="6" t="inlineStr">
        <is>
          <t>Condition ODD</t>
        </is>
      </c>
      <c r="D47" s="6" t="inlineStr">
        <is>
          <t>Shoulder — absent (no shoulder)</t>
        </is>
      </c>
      <c r="E47" s="6" t="n">
        <v>2</v>
      </c>
      <c r="F47" s="6" t="n">
        <v>2</v>
      </c>
      <c r="G47" s="6" t="inlineStr">
        <is>
          <t>Deceleration for too long / stuck, Unintended Deceleration</t>
        </is>
      </c>
      <c r="H47" s="6" t="inlineStr">
        <is>
          <t>RD-11, LC-ABT-02, FB-02</t>
        </is>
      </c>
      <c r="I47" s="6">
        <f>IF(H47="",0,LEN(H47)-LEN(SUBSTITUTE(H47,",",""))+1)</f>
        <v/>
      </c>
      <c r="J47" s="6">
        <f>IF(I47&gt;0,"couvert","trou")</f>
        <v/>
      </c>
      <c r="K47" s="6" t="inlineStr"/>
    </row>
    <row r="48">
      <c r="A48" s="6" t="inlineStr">
        <is>
          <t>Highway</t>
        </is>
      </c>
      <c r="B48" s="6" t="inlineStr">
        <is>
          <t>HW-FOL</t>
        </is>
      </c>
      <c r="C48" s="6" t="inlineStr">
        <is>
          <t>Hazard</t>
        </is>
      </c>
      <c r="D48" s="6" t="inlineStr">
        <is>
          <t>H1 Side collision</t>
        </is>
      </c>
      <c r="E48" s="6" t="n">
        <v>17</v>
      </c>
      <c r="F48" s="6" t="n"/>
      <c r="G48" s="6" t="inlineStr">
        <is>
          <t>Excessive Steering, Insufficient Steering, No Acceleration, No Deceleration, No Steering, Steering for too long / stuck, Steering in opposite direction, Unintended Steering</t>
        </is>
      </c>
      <c r="H48" s="6" t="inlineStr">
        <is>
          <t>CI-01, CI-02, CI-03, CI-04, CI-05, CI-06, CI-08, ADJ-01, ADJ-02, ADJ-03, ADJ-04, ADJ-05, ADJ-06, ADJ-07, LC-TGT-07, LC-CUR-02, RMP-09, RMP-12, LC-RD-02, LC-RD-05, LC-RD-06, LC-RD-07, RD-09, RD-12, RD-14, EMV-05, EMV-06, LC-OOD-01, LC-OOD-02, LC-OOD-04, LC-REF-01, OBJ-02, OBJ-03, OBJ-05</t>
        </is>
      </c>
      <c r="I48" s="6">
        <f>IF(H48="",0,LEN(H48)-LEN(SUBSTITUTE(H48,",",""))+1)</f>
        <v/>
      </c>
      <c r="J48" s="6">
        <f>IF(I48&gt;0,"couvert","trou")</f>
        <v/>
      </c>
      <c r="K48" s="6" t="inlineStr"/>
    </row>
    <row r="49">
      <c r="A49" s="6" t="inlineStr">
        <is>
          <t>Highway</t>
        </is>
      </c>
      <c r="B49" s="6" t="inlineStr">
        <is>
          <t>HW-FOL</t>
        </is>
      </c>
      <c r="C49" s="6" t="inlineStr">
        <is>
          <t>Hazard</t>
        </is>
      </c>
      <c r="D49" s="6" t="inlineStr">
        <is>
          <t>H2 Front collision</t>
        </is>
      </c>
      <c r="E49" s="6" t="n">
        <v>25</v>
      </c>
      <c r="F49" s="6" t="n"/>
      <c r="G49" s="6" t="inlineStr">
        <is>
          <t>Deceleration too late, Excessive Acceleration, Insufficient Deceleration, No Deceleration, No Steering, Unintended Acceleration</t>
        </is>
      </c>
      <c r="H49" s="6" t="inlineStr">
        <is>
          <t>LV-02, LV-03, LV-04, LV-05, LV-06, LV-07, LV-08, LV-09, LV-10, LV-11, CI-01, CI-02, CI-03, CI-04, CI-05, CI-06, CI-07, CI-08, ADJ-07, LC-CUR-02, RMP-06, RMP-09, RMP-11, RMP-12, LC-RD-02, LC-RD-05, LC-RD-06, LC-RD-07, RD-10, RD-13, EMV-03, EMV-05, LC-OOD-01, LC-OOD-02, LC-OOD-04, LC-REF-01, OBJ-01, OBJ-02, OBJ-04, OBJ-05, OBJ-06</t>
        </is>
      </c>
      <c r="I49" s="6">
        <f>IF(H49="",0,LEN(H49)-LEN(SUBSTITUTE(H49,",",""))+1)</f>
        <v/>
      </c>
      <c r="J49" s="6">
        <f>IF(I49&gt;0,"couvert","trou")</f>
        <v/>
      </c>
      <c r="K49" s="6" t="inlineStr"/>
    </row>
    <row r="50">
      <c r="A50" s="6" t="inlineStr">
        <is>
          <t>Highway</t>
        </is>
      </c>
      <c r="B50" s="6" t="inlineStr">
        <is>
          <t>HW-FOL</t>
        </is>
      </c>
      <c r="C50" s="6" t="inlineStr">
        <is>
          <t>Hazard</t>
        </is>
      </c>
      <c r="D50" s="6" t="inlineStr">
        <is>
          <t>H3 Rear-end by follower</t>
        </is>
      </c>
      <c r="E50" s="6" t="n">
        <v>14</v>
      </c>
      <c r="F50" s="6" t="n"/>
      <c r="G50" s="6" t="inlineStr">
        <is>
          <t>Brake Lights too late, Excessive Deceleration, Insufficient Acceleration, Insufficient Steering, No Acceleration, No Brake Lights, Unintended Deceleration</t>
        </is>
      </c>
      <c r="H50" s="6" t="inlineStr">
        <is>
          <t>LV-03, LV-04, LV-05, LV-06, LV-07, LV-08, LV-10, CI-07, ADJ-07, LC-CUR-02, LC-RD-02, LC-RD-05, LC-RD-06, LC-RD-07, RD-13, EMV-03, EMV-05, LC-OOD-01, LC-OOD-02, LC-OOD-04, LC-REF-01, OBJ-01, OBJ-02, OBJ-03, OBJ-04, OBJ-05, OBJ-06, AB-02</t>
        </is>
      </c>
      <c r="I50" s="6">
        <f>IF(H50="",0,LEN(H50)-LEN(SUBSTITUTE(H50,",",""))+1)</f>
        <v/>
      </c>
      <c r="J50" s="6">
        <f>IF(I50&gt;0,"couvert","trou")</f>
        <v/>
      </c>
      <c r="K50" s="6" t="inlineStr"/>
    </row>
    <row r="51">
      <c r="A51" s="6" t="inlineStr">
        <is>
          <t>Highway</t>
        </is>
      </c>
      <c r="B51" s="6" t="inlineStr">
        <is>
          <t>HW-FOL</t>
        </is>
      </c>
      <c r="C51" s="6" t="inlineStr">
        <is>
          <t>Hazard</t>
        </is>
      </c>
      <c r="D51" s="6" t="inlineStr">
        <is>
          <t>H4 Intent not communicated</t>
        </is>
      </c>
      <c r="E51" s="6" t="n">
        <v>4</v>
      </c>
      <c r="F51" s="6" t="n"/>
      <c r="G51" s="6" t="inlineStr">
        <is>
          <t>Brake Lights for too long / stuck, Steering too late, Unintended Brake Lights, Unintended Turn Signal</t>
        </is>
      </c>
      <c r="H51" s="6" t="inlineStr">
        <is>
          <t>LC-CUR-02, LC-OOD-01, LC-OOD-02, LC-OOD-04, LC-REF-01</t>
        </is>
      </c>
      <c r="I51" s="6">
        <f>IF(H51="",0,LEN(H51)-LEN(SUBSTITUTE(H51,",",""))+1)</f>
        <v/>
      </c>
      <c r="J51" s="6">
        <f>IF(I51&gt;0,"couvert","trou")</f>
        <v/>
      </c>
      <c r="K51" s="6" t="inlineStr"/>
    </row>
    <row r="52">
      <c r="A52" s="6" t="inlineStr">
        <is>
          <t>Highway</t>
        </is>
      </c>
      <c r="B52" s="6" t="inlineStr">
        <is>
          <t>HW-FOL</t>
        </is>
      </c>
      <c r="C52" s="6" t="inlineStr">
        <is>
          <t>Hazard</t>
        </is>
      </c>
      <c r="D52" s="6" t="inlineStr">
        <is>
          <t>H5 Loss of stability / control</t>
        </is>
      </c>
      <c r="E52" s="6" t="n">
        <v>14</v>
      </c>
      <c r="F52" s="6" t="n"/>
      <c r="G52" s="6" t="inlineStr">
        <is>
          <t>Excessive Acceleration, Excessive Deceleration, Excessive Steering, Insufficient Acceleration, Insufficient Deceleration, Insufficient Steering, No Deceleration, No Steering</t>
        </is>
      </c>
      <c r="H52" s="6" t="inlineStr">
        <is>
          <t>LC-TGT-07, LC-RD-06, LC-RD-07, RD-09, RD-12, RD-13, RD-14, OBJ-01, OBJ-04</t>
        </is>
      </c>
      <c r="I52" s="6">
        <f>IF(H52="",0,LEN(H52)-LEN(SUBSTITUTE(H52,",",""))+1)</f>
        <v/>
      </c>
      <c r="J52" s="6">
        <f>IF(I52&gt;0,"couvert","trou")</f>
        <v/>
      </c>
      <c r="K52" s="6" t="inlineStr"/>
    </row>
    <row r="53">
      <c r="A53" s="6" t="inlineStr">
        <is>
          <t>Highway</t>
        </is>
      </c>
      <c r="B53" s="6" t="inlineStr">
        <is>
          <t>HW-FOL</t>
        </is>
      </c>
      <c r="C53" s="6" t="inlineStr">
        <is>
          <t>Condition ODD</t>
        </is>
      </c>
      <c r="D53" s="6" t="inlineStr">
        <is>
          <t>Air Temperature — high (up to 110 °F)</t>
        </is>
      </c>
      <c r="E53" s="6" t="n">
        <v>1</v>
      </c>
      <c r="F53" s="6" t="n"/>
      <c r="G53" s="6" t="inlineStr">
        <is>
          <t>Insufficient Deceleration</t>
        </is>
      </c>
      <c r="H53" s="6" t="inlineStr"/>
      <c r="I53" s="6">
        <f>IF(H53="",0,LEN(H53)-LEN(SUBSTITUTE(H53,",",""))+1)</f>
        <v/>
      </c>
      <c r="J53" s="6">
        <f>IF(I53&gt;0,"couvert","trou")</f>
        <v/>
      </c>
      <c r="K53" s="6" t="inlineStr">
        <is>
          <t>non modélisé au jalon 1 (perception parfaite, adhérence)</t>
        </is>
      </c>
    </row>
    <row r="54">
      <c r="A54" s="6" t="inlineStr">
        <is>
          <t>Highway</t>
        </is>
      </c>
      <c r="B54" s="6" t="inlineStr">
        <is>
          <t>HW-FOL</t>
        </is>
      </c>
      <c r="C54" s="6" t="inlineStr">
        <is>
          <t>Condition ODD</t>
        </is>
      </c>
      <c r="D54" s="6" t="inlineStr">
        <is>
          <t>Rain — Heavy / standing water</t>
        </is>
      </c>
      <c r="E54" s="6" t="n">
        <v>3</v>
      </c>
      <c r="F54" s="6" t="n"/>
      <c r="G54" s="6" t="inlineStr">
        <is>
          <t>Deceleration too late, Excessive Deceleration, Insufficient Deceleration</t>
        </is>
      </c>
      <c r="H54" s="6" t="inlineStr"/>
      <c r="I54" s="6">
        <f>IF(H54="",0,LEN(H54)-LEN(SUBSTITUTE(H54,",",""))+1)</f>
        <v/>
      </c>
      <c r="J54" s="6">
        <f>IF(I54&gt;0,"couvert","trou")</f>
        <v/>
      </c>
      <c r="K54" s="6" t="inlineStr">
        <is>
          <t>non modélisé au jalon 1 (perception parfaite, adhérence)</t>
        </is>
      </c>
    </row>
    <row r="55">
      <c r="A55" s="6" t="inlineStr">
        <is>
          <t>Highway</t>
        </is>
      </c>
      <c r="B55" s="6" t="inlineStr">
        <is>
          <t>HW-FOL</t>
        </is>
      </c>
      <c r="C55" s="6" t="inlineStr">
        <is>
          <t>Condition ODD</t>
        </is>
      </c>
      <c r="D55" s="6" t="inlineStr">
        <is>
          <t>Rain — Light / Moderate (wet road)</t>
        </is>
      </c>
      <c r="E55" s="6" t="n">
        <v>5</v>
      </c>
      <c r="F55" s="6" t="n"/>
      <c r="G55" s="6" t="inlineStr">
        <is>
          <t>Deceleration too late, Insufficient Deceleration, No Deceleration</t>
        </is>
      </c>
      <c r="H55" s="6" t="inlineStr"/>
      <c r="I55" s="6">
        <f>IF(H55="",0,LEN(H55)-LEN(SUBSTITUTE(H55,",",""))+1)</f>
        <v/>
      </c>
      <c r="J55" s="6">
        <f>IF(I55&gt;0,"couvert","trou")</f>
        <v/>
      </c>
      <c r="K55" s="6" t="inlineStr">
        <is>
          <t>non modélisé au jalon 1 (perception parfaite, adhérence)</t>
        </is>
      </c>
    </row>
    <row r="56">
      <c r="A56" s="6" t="inlineStr">
        <is>
          <t>Highway</t>
        </is>
      </c>
      <c r="B56" s="6" t="inlineStr">
        <is>
          <t>HW-FOL</t>
        </is>
      </c>
      <c r="C56" s="6" t="inlineStr">
        <is>
          <t>Condition ODD</t>
        </is>
      </c>
      <c r="D56" s="6" t="inlineStr">
        <is>
          <t>Slope — steep grade (up to ±8 %)</t>
        </is>
      </c>
      <c r="E56" s="6" t="n">
        <v>2</v>
      </c>
      <c r="F56" s="6" t="n"/>
      <c r="G56" s="6" t="inlineStr">
        <is>
          <t>Deceleration too late, Insufficient Deceleration</t>
        </is>
      </c>
      <c r="H56" s="6" t="inlineStr">
        <is>
          <t>LC-RD-07, RD-13</t>
        </is>
      </c>
      <c r="I56" s="6">
        <f>IF(H56="",0,LEN(H56)-LEN(SUBSTITUTE(H56,",",""))+1)</f>
        <v/>
      </c>
      <c r="J56" s="6">
        <f>IF(I56&gt;0,"couvert","trou")</f>
        <v/>
      </c>
      <c r="K56" s="6" t="inlineStr"/>
    </row>
    <row r="57">
      <c r="A57" s="6" t="inlineStr">
        <is>
          <t>Highway</t>
        </is>
      </c>
      <c r="B57" s="6" t="inlineStr">
        <is>
          <t>HW-FOL</t>
        </is>
      </c>
      <c r="C57" s="6" t="inlineStr">
        <is>
          <t>Condition ODD</t>
        </is>
      </c>
      <c r="D57" s="6" t="inlineStr">
        <is>
          <t>Sun Angle — low sun / glare</t>
        </is>
      </c>
      <c r="E57" s="6" t="n">
        <v>2</v>
      </c>
      <c r="F57" s="6" t="n"/>
      <c r="G57" s="6" t="inlineStr">
        <is>
          <t>Deceleration too late, Insufficient Deceleration</t>
        </is>
      </c>
      <c r="H57" s="6" t="inlineStr"/>
      <c r="I57" s="6">
        <f>IF(H57="",0,LEN(H57)-LEN(SUBSTITUTE(H57,",",""))+1)</f>
        <v/>
      </c>
      <c r="J57" s="6">
        <f>IF(I57&gt;0,"couvert","trou")</f>
        <v/>
      </c>
      <c r="K57" s="6" t="inlineStr">
        <is>
          <t>non modélisé au jalon 1 (perception parfaite, adhérence)</t>
        </is>
      </c>
    </row>
    <row r="58">
      <c r="A58" s="6" t="inlineStr">
        <is>
          <t>Highway</t>
        </is>
      </c>
      <c r="B58" s="6" t="inlineStr">
        <is>
          <t>HW-FOL</t>
        </is>
      </c>
      <c r="C58" s="6" t="inlineStr">
        <is>
          <t>Condition ODD</t>
        </is>
      </c>
      <c r="D58" s="6" t="inlineStr">
        <is>
          <t>Vehicles — dense traffic / cut-in</t>
        </is>
      </c>
      <c r="E58" s="6" t="n">
        <v>2</v>
      </c>
      <c r="F58" s="6" t="n"/>
      <c r="G58" s="6" t="inlineStr">
        <is>
          <t>Deceleration too late, Excessive Deceleration</t>
        </is>
      </c>
      <c r="H58" s="6" t="inlineStr">
        <is>
          <t>CI-01, CI-02, CI-03, CI-04, CI-05, CI-06, CI-08, RMP-09, RMP-12, LC-RD-05</t>
        </is>
      </c>
      <c r="I58" s="6">
        <f>IF(H58="",0,LEN(H58)-LEN(SUBSTITUTE(H58,",",""))+1)</f>
        <v/>
      </c>
      <c r="J58" s="6">
        <f>IF(I58&gt;0,"couvert","trou")</f>
        <v/>
      </c>
      <c r="K58" s="6" t="inlineStr"/>
    </row>
    <row r="59">
      <c r="A59" s="6" t="inlineStr">
        <is>
          <t>Highway</t>
        </is>
      </c>
      <c r="B59" s="6" t="inlineStr">
        <is>
          <t>HW-FOL</t>
        </is>
      </c>
      <c r="C59" s="6" t="inlineStr">
        <is>
          <t>Condition ODD</t>
        </is>
      </c>
      <c r="D59" s="6" t="inlineStr">
        <is>
          <t>Wind — strong crosswind / gusts</t>
        </is>
      </c>
      <c r="E59" s="6" t="n">
        <v>1</v>
      </c>
      <c r="F59" s="6" t="n"/>
      <c r="G59" s="6" t="inlineStr">
        <is>
          <t>Excessive Deceleration</t>
        </is>
      </c>
      <c r="H59" s="6" t="inlineStr">
        <is>
          <t>RD-12</t>
        </is>
      </c>
      <c r="I59" s="6">
        <f>IF(H59="",0,LEN(H59)-LEN(SUBSTITUTE(H59,",",""))+1)</f>
        <v/>
      </c>
      <c r="J59" s="6">
        <f>IF(I59&gt;0,"couvert","trou")</f>
        <v/>
      </c>
      <c r="K59" s="6" t="inlineStr"/>
    </row>
    <row r="60">
      <c r="A60" s="6" t="inlineStr">
        <is>
          <t>Highway</t>
        </is>
      </c>
      <c r="B60" s="6" t="inlineStr">
        <is>
          <t>HW-FOL</t>
        </is>
      </c>
      <c r="C60" s="6" t="inlineStr">
        <is>
          <t>Condition ODD</t>
        </is>
      </c>
      <c r="D60" s="6" t="inlineStr">
        <is>
          <t>[Out-of-ODD] Sudden object intrusion</t>
        </is>
      </c>
      <c r="E60" s="6" t="n">
        <v>1</v>
      </c>
      <c r="F60" s="6" t="n"/>
      <c r="G60" s="6" t="inlineStr">
        <is>
          <t>Deceleration too late</t>
        </is>
      </c>
      <c r="H60" s="6" t="inlineStr">
        <is>
          <t>OBJ-02, OBJ-06</t>
        </is>
      </c>
      <c r="I60" s="6">
        <f>IF(H60="",0,LEN(H60)-LEN(SUBSTITUTE(H60,",",""))+1)</f>
        <v/>
      </c>
      <c r="J60" s="6">
        <f>IF(I60&gt;0,"couvert","trou")</f>
        <v/>
      </c>
      <c r="K60" s="6" t="inlineStr"/>
    </row>
    <row r="61">
      <c r="A61" s="6" t="inlineStr">
        <is>
          <t>Highway</t>
        </is>
      </c>
      <c r="B61" s="6" t="inlineStr">
        <is>
          <t>HW-LC</t>
        </is>
      </c>
      <c r="C61" s="6" t="inlineStr">
        <is>
          <t>Hazard</t>
        </is>
      </c>
      <c r="D61" s="6" t="inlineStr">
        <is>
          <t>H1 Side collision</t>
        </is>
      </c>
      <c r="E61" s="6" t="n">
        <v>24</v>
      </c>
      <c r="F61" s="6" t="n"/>
      <c r="G61" s="6" t="inlineStr">
        <is>
          <t>Excessive Steering, Insufficient Steering, No Acceleration, No Deceleration, No Steering, No Turn Signal, Steering for too long / stuck, Steering in opposite direction</t>
        </is>
      </c>
      <c r="H61" s="6" t="inlineStr">
        <is>
          <t>LV-05, ADJ-05, ADJ-06, ADJ-07, LC-NOM-01, LC-NOM-02, LC-NOM-03, LC-NOM-04, LC-TGT-01, LC-TGT-02, LC-TGT-03, LC-TGT-04, LC-TGT-05, LC-TGT-06, LC-TGT-07, LC-CUR-01, LC-CUR-02, LC-CUR-03, RMP-12, LC-RD-01, LC-RD-02, LC-RD-03, LC-RD-04, LC-RD-05, LC-RD-06, LC-RD-07, LC-RD-08, RD-12, RD-14, EMV-05, LC-OOD-01, LC-OOD-02, LC-OOD-03, LC-OOD-04, LC-REF-01, OBJ-02, OBJ-03, LC-ABT-01, LC-ABT-02</t>
        </is>
      </c>
      <c r="I61" s="6">
        <f>IF(H61="",0,LEN(H61)-LEN(SUBSTITUTE(H61,",",""))+1)</f>
        <v/>
      </c>
      <c r="J61" s="6">
        <f>IF(I61&gt;0,"couvert","trou")</f>
        <v/>
      </c>
      <c r="K61" s="6" t="inlineStr"/>
    </row>
    <row r="62">
      <c r="A62" s="6" t="inlineStr">
        <is>
          <t>Highway</t>
        </is>
      </c>
      <c r="B62" s="6" t="inlineStr">
        <is>
          <t>HW-LC</t>
        </is>
      </c>
      <c r="C62" s="6" t="inlineStr">
        <is>
          <t>Hazard</t>
        </is>
      </c>
      <c r="D62" s="6" t="inlineStr">
        <is>
          <t>H2 Front collision</t>
        </is>
      </c>
      <c r="E62" s="6" t="n">
        <v>11</v>
      </c>
      <c r="F62" s="6" t="n"/>
      <c r="G62" s="6" t="inlineStr">
        <is>
          <t>Excessive Acceleration, Insufficient Deceleration, No Deceleration, No Steering, Unintended Acceleration</t>
        </is>
      </c>
      <c r="H62" s="6" t="inlineStr">
        <is>
          <t>LV-05, ADJ-06, ADJ-07, LC-NOM-02, LC-NOM-03, LC-NOM-04, LC-TGT-01, LC-TGT-02, LC-TGT-03, LC-TGT-04, LC-TGT-05, LC-TGT-07, LC-CUR-01, LC-CUR-02, LC-CUR-03, RMP-12, LC-RD-01, LC-RD-02, LC-RD-03, LC-RD-04, LC-RD-05, LC-RD-06, LC-RD-07, RD-14, EMV-05, LC-OOD-01, LC-OOD-02, LC-OOD-03, LC-OOD-04, LC-REF-01, OBJ-02, LC-ABT-01, LC-ABT-02</t>
        </is>
      </c>
      <c r="I62" s="6">
        <f>IF(H62="",0,LEN(H62)-LEN(SUBSTITUTE(H62,",",""))+1)</f>
        <v/>
      </c>
      <c r="J62" s="6">
        <f>IF(I62&gt;0,"couvert","trou")</f>
        <v/>
      </c>
      <c r="K62" s="6" t="inlineStr"/>
    </row>
    <row r="63">
      <c r="A63" s="6" t="inlineStr">
        <is>
          <t>Highway</t>
        </is>
      </c>
      <c r="B63" s="6" t="inlineStr">
        <is>
          <t>HW-LC</t>
        </is>
      </c>
      <c r="C63" s="6" t="inlineStr">
        <is>
          <t>Hazard</t>
        </is>
      </c>
      <c r="D63" s="6" t="inlineStr">
        <is>
          <t>H3 Rear-end by follower</t>
        </is>
      </c>
      <c r="E63" s="6" t="n">
        <v>11</v>
      </c>
      <c r="F63" s="6" t="n"/>
      <c r="G63" s="6" t="inlineStr">
        <is>
          <t>Excessive Deceleration, Insufficient Acceleration, Insufficient Steering, No Acceleration, Unintended Deceleration</t>
        </is>
      </c>
      <c r="H63" s="6" t="inlineStr">
        <is>
          <t>LV-05, ADJ-07, LC-NOM-02, LC-NOM-03, LC-NOM-04, LC-TGT-01, LC-TGT-02, LC-TGT-03, LC-TGT-04, LC-TGT-05, LC-CUR-01, LC-CUR-02, LC-CUR-03, LC-RD-01, LC-RD-02, LC-RD-03, LC-RD-04, LC-RD-05, LC-RD-06, LC-RD-07, EMV-05, LC-OOD-01, LC-OOD-02, LC-OOD-03, LC-OOD-04, LC-REF-01, OBJ-02, OBJ-03, LC-ABT-01, LC-ABT-02</t>
        </is>
      </c>
      <c r="I63" s="6">
        <f>IF(H63="",0,LEN(H63)-LEN(SUBSTITUTE(H63,",",""))+1)</f>
        <v/>
      </c>
      <c r="J63" s="6">
        <f>IF(I63&gt;0,"couvert","trou")</f>
        <v/>
      </c>
      <c r="K63" s="6" t="inlineStr"/>
    </row>
    <row r="64">
      <c r="A64" s="6" t="inlineStr">
        <is>
          <t>Highway</t>
        </is>
      </c>
      <c r="B64" s="6" t="inlineStr">
        <is>
          <t>HW-LC</t>
        </is>
      </c>
      <c r="C64" s="6" t="inlineStr">
        <is>
          <t>Hazard</t>
        </is>
      </c>
      <c r="D64" s="6" t="inlineStr">
        <is>
          <t>H4 Intent not communicated</t>
        </is>
      </c>
      <c r="E64" s="6" t="n">
        <v>2</v>
      </c>
      <c r="F64" s="6" t="n"/>
      <c r="G64" s="6" t="inlineStr">
        <is>
          <t>Steering too late, Unintended Turn Signal</t>
        </is>
      </c>
      <c r="H64" s="6" t="inlineStr">
        <is>
          <t>LV-05, ADJ-05, ADJ-06, ADJ-07, LC-NOM-01, LC-NOM-02, LC-NOM-03, LC-NOM-04, LC-TGT-01, LC-TGT-02, LC-TGT-03, LC-TGT-04, LC-TGT-05, LC-TGT-06, LC-TGT-07, LC-CUR-01, LC-CUR-02, LC-CUR-03, RMP-12, LC-RD-01, LC-RD-02, LC-RD-03, LC-RD-04, LC-RD-05, LC-RD-06, LC-RD-07, LC-RD-08, RD-12, RD-14, EMV-05, LC-OOD-01, LC-OOD-02, LC-OOD-03, LC-OOD-04, LC-REF-01, OBJ-02, OBJ-03, LC-ABT-01, LC-ABT-02</t>
        </is>
      </c>
      <c r="I64" s="6">
        <f>IF(H64="",0,LEN(H64)-LEN(SUBSTITUTE(H64,",",""))+1)</f>
        <v/>
      </c>
      <c r="J64" s="6">
        <f>IF(I64&gt;0,"couvert","trou")</f>
        <v/>
      </c>
      <c r="K64" s="6" t="inlineStr"/>
    </row>
    <row r="65">
      <c r="A65" s="6" t="inlineStr">
        <is>
          <t>Highway</t>
        </is>
      </c>
      <c r="B65" s="6" t="inlineStr">
        <is>
          <t>HW-LC</t>
        </is>
      </c>
      <c r="C65" s="6" t="inlineStr">
        <is>
          <t>Hazard</t>
        </is>
      </c>
      <c r="D65" s="6" t="inlineStr">
        <is>
          <t>H5 Loss of stability / control</t>
        </is>
      </c>
      <c r="E65" s="6" t="n">
        <v>13</v>
      </c>
      <c r="F65" s="6" t="n"/>
      <c r="G65" s="6" t="inlineStr">
        <is>
          <t>Excessive Acceleration, Excessive Deceleration, Excessive Steering, Insufficient Acceleration, Insufficient Deceleration, Insufficient Steering, No Deceleration, No Steering</t>
        </is>
      </c>
      <c r="H65" s="6" t="inlineStr">
        <is>
          <t>LC-NOM-01, LC-TGT-07, LC-RD-06, LC-RD-07, RD-12, RD-14, LC-ABT-01, LC-ABT-02</t>
        </is>
      </c>
      <c r="I65" s="6">
        <f>IF(H65="",0,LEN(H65)-LEN(SUBSTITUTE(H65,",",""))+1)</f>
        <v/>
      </c>
      <c r="J65" s="6">
        <f>IF(I65&gt;0,"couvert","trou")</f>
        <v/>
      </c>
      <c r="K65" s="6" t="inlineStr"/>
    </row>
    <row r="66">
      <c r="A66" s="6" t="inlineStr">
        <is>
          <t>Highway</t>
        </is>
      </c>
      <c r="B66" s="6" t="inlineStr">
        <is>
          <t>HW-LC</t>
        </is>
      </c>
      <c r="C66" s="6" t="inlineStr">
        <is>
          <t>Condition ODD</t>
        </is>
      </c>
      <c r="D66" s="6" t="inlineStr">
        <is>
          <t>Wind — strong crosswind / gusts</t>
        </is>
      </c>
      <c r="E66" s="6" t="n">
        <v>1</v>
      </c>
      <c r="F66" s="6" t="n"/>
      <c r="G66" s="6" t="inlineStr">
        <is>
          <t>Excessive Steering</t>
        </is>
      </c>
      <c r="H66" s="6" t="inlineStr">
        <is>
          <t>RD-12</t>
        </is>
      </c>
      <c r="I66" s="6">
        <f>IF(H66="",0,LEN(H66)-LEN(SUBSTITUTE(H66,",",""))+1)</f>
        <v/>
      </c>
      <c r="J66" s="6">
        <f>IF(I66&gt;0,"couvert","trou")</f>
        <v/>
      </c>
      <c r="K66" s="6" t="inlineStr"/>
    </row>
    <row r="67">
      <c r="A67" s="6" t="inlineStr">
        <is>
          <t>Highway</t>
        </is>
      </c>
      <c r="B67" s="6" t="inlineStr">
        <is>
          <t>HW-OFR</t>
        </is>
      </c>
      <c r="C67" s="6" t="inlineStr">
        <is>
          <t>Hazard</t>
        </is>
      </c>
      <c r="D67" s="6" t="inlineStr">
        <is>
          <t>H1 Side collision</t>
        </is>
      </c>
      <c r="E67" s="6" t="n">
        <v>24</v>
      </c>
      <c r="F67" s="6" t="n"/>
      <c r="G67" s="6" t="inlineStr">
        <is>
          <t>Excessive Steering, Insufficient Steering, No Acceleration, No Deceleration, No Steering, No Turn Signal, Steering for too long / stuck, Steering in opposite direction</t>
        </is>
      </c>
      <c r="H67" s="6" t="inlineStr">
        <is>
          <t>RMP-07, RMP-09, LC-RD-04</t>
        </is>
      </c>
      <c r="I67" s="6">
        <f>IF(H67="",0,LEN(H67)-LEN(SUBSTITUTE(H67,",",""))+1)</f>
        <v/>
      </c>
      <c r="J67" s="6">
        <f>IF(I67&gt;0,"couvert","trou")</f>
        <v/>
      </c>
      <c r="K67" s="6" t="inlineStr"/>
    </row>
    <row r="68">
      <c r="A68" s="6" t="inlineStr">
        <is>
          <t>Highway</t>
        </is>
      </c>
      <c r="B68" s="6" t="inlineStr">
        <is>
          <t>HW-OFR</t>
        </is>
      </c>
      <c r="C68" s="6" t="inlineStr">
        <is>
          <t>Hazard</t>
        </is>
      </c>
      <c r="D68" s="6" t="inlineStr">
        <is>
          <t>H2 Front collision</t>
        </is>
      </c>
      <c r="E68" s="6" t="n">
        <v>11</v>
      </c>
      <c r="F68" s="6" t="n"/>
      <c r="G68" s="6" t="inlineStr">
        <is>
          <t>Excessive Acceleration, Insufficient Deceleration, No Deceleration, No Steering, Unintended Acceleration</t>
        </is>
      </c>
      <c r="H68" s="6" t="inlineStr">
        <is>
          <t>RMP-06, RMP-07, RMP-09, RMP-10, LC-RD-04</t>
        </is>
      </c>
      <c r="I68" s="6">
        <f>IF(H68="",0,LEN(H68)-LEN(SUBSTITUTE(H68,",",""))+1)</f>
        <v/>
      </c>
      <c r="J68" s="6">
        <f>IF(I68&gt;0,"couvert","trou")</f>
        <v/>
      </c>
      <c r="K68" s="6" t="inlineStr"/>
    </row>
    <row r="69">
      <c r="A69" s="6" t="inlineStr">
        <is>
          <t>Highway</t>
        </is>
      </c>
      <c r="B69" s="6" t="inlineStr">
        <is>
          <t>HW-OFR</t>
        </is>
      </c>
      <c r="C69" s="6" t="inlineStr">
        <is>
          <t>Hazard</t>
        </is>
      </c>
      <c r="D69" s="6" t="inlineStr">
        <is>
          <t>H3 Rear-end by follower</t>
        </is>
      </c>
      <c r="E69" s="6" t="n">
        <v>13</v>
      </c>
      <c r="F69" s="6" t="n"/>
      <c r="G69" s="6" t="inlineStr">
        <is>
          <t>Brake Lights too late, Excessive Deceleration, Insufficient Acceleration, Insufficient Steering, No Acceleration, No Brake Lights, Unintended Deceleration</t>
        </is>
      </c>
      <c r="H69" s="6" t="inlineStr">
        <is>
          <t>RMP-07, LC-RD-04</t>
        </is>
      </c>
      <c r="I69" s="6">
        <f>IF(H69="",0,LEN(H69)-LEN(SUBSTITUTE(H69,",",""))+1)</f>
        <v/>
      </c>
      <c r="J69" s="6">
        <f>IF(I69&gt;0,"couvert","trou")</f>
        <v/>
      </c>
      <c r="K69" s="6" t="inlineStr"/>
    </row>
    <row r="70">
      <c r="A70" s="6" t="inlineStr">
        <is>
          <t>Highway</t>
        </is>
      </c>
      <c r="B70" s="6" t="inlineStr">
        <is>
          <t>HW-OFR</t>
        </is>
      </c>
      <c r="C70" s="6" t="inlineStr">
        <is>
          <t>Hazard</t>
        </is>
      </c>
      <c r="D70" s="6" t="inlineStr">
        <is>
          <t>H4 Intent not communicated</t>
        </is>
      </c>
      <c r="E70" s="6" t="n">
        <v>4</v>
      </c>
      <c r="F70" s="6" t="n"/>
      <c r="G70" s="6" t="inlineStr">
        <is>
          <t>Brake Lights for too long / stuck, Steering too late, Unintended Brake Lights, Unintended Turn Signal</t>
        </is>
      </c>
      <c r="H70" s="6" t="inlineStr">
        <is>
          <t>RMP-07, LC-RD-04</t>
        </is>
      </c>
      <c r="I70" s="6">
        <f>IF(H70="",0,LEN(H70)-LEN(SUBSTITUTE(H70,",",""))+1)</f>
        <v/>
      </c>
      <c r="J70" s="6">
        <f>IF(I70&gt;0,"couvert","trou")</f>
        <v/>
      </c>
      <c r="K70" s="6" t="inlineStr"/>
    </row>
    <row r="71">
      <c r="A71" s="6" t="inlineStr">
        <is>
          <t>Highway</t>
        </is>
      </c>
      <c r="B71" s="6" t="inlineStr">
        <is>
          <t>HW-OFR</t>
        </is>
      </c>
      <c r="C71" s="6" t="inlineStr">
        <is>
          <t>Hazard</t>
        </is>
      </c>
      <c r="D71" s="6" t="inlineStr">
        <is>
          <t>H5 Loss of stability / control</t>
        </is>
      </c>
      <c r="E71" s="6" t="n">
        <v>12</v>
      </c>
      <c r="F71" s="6" t="n"/>
      <c r="G71" s="6" t="inlineStr">
        <is>
          <t>Excessive Acceleration, Excessive Deceleration, Excessive Steering, Insufficient Acceleration, Insufficient Deceleration, Insufficient Steering, No Deceleration, No Steering</t>
        </is>
      </c>
      <c r="H71" s="6" t="inlineStr">
        <is>
          <t>RMP-08</t>
        </is>
      </c>
      <c r="I71" s="6">
        <f>IF(H71="",0,LEN(H71)-LEN(SUBSTITUTE(H71,",",""))+1)</f>
        <v/>
      </c>
      <c r="J71" s="6">
        <f>IF(I71&gt;0,"couvert","trou")</f>
        <v/>
      </c>
      <c r="K71" s="6" t="inlineStr"/>
    </row>
    <row r="72">
      <c r="A72" s="6" t="inlineStr">
        <is>
          <t>Highway</t>
        </is>
      </c>
      <c r="B72" s="6" t="inlineStr">
        <is>
          <t>HW-ONR</t>
        </is>
      </c>
      <c r="C72" s="6" t="inlineStr">
        <is>
          <t>Hazard</t>
        </is>
      </c>
      <c r="D72" s="6" t="inlineStr">
        <is>
          <t>H1 Side collision</t>
        </is>
      </c>
      <c r="E72" s="6" t="n">
        <v>24</v>
      </c>
      <c r="F72" s="6" t="n"/>
      <c r="G72" s="6" t="inlineStr">
        <is>
          <t>Excessive Steering, Insufficient Steering, No Acceleration, No Deceleration, No Steering, No Turn Signal, Steering for too long / stuck, Steering in opposite direction</t>
        </is>
      </c>
      <c r="H72" s="6" t="inlineStr">
        <is>
          <t>LC-TGT-03, RMP-01, RMP-02, RMP-03, RMP-04, RMP-05, RMP-13, RMP-14, LC-RD-03</t>
        </is>
      </c>
      <c r="I72" s="6">
        <f>IF(H72="",0,LEN(H72)-LEN(SUBSTITUTE(H72,",",""))+1)</f>
        <v/>
      </c>
      <c r="J72" s="6">
        <f>IF(I72&gt;0,"couvert","trou")</f>
        <v/>
      </c>
      <c r="K72" s="6" t="inlineStr"/>
    </row>
    <row r="73">
      <c r="A73" s="6" t="inlineStr">
        <is>
          <t>Highway</t>
        </is>
      </c>
      <c r="B73" s="6" t="inlineStr">
        <is>
          <t>HW-ONR</t>
        </is>
      </c>
      <c r="C73" s="6" t="inlineStr">
        <is>
          <t>Hazard</t>
        </is>
      </c>
      <c r="D73" s="6" t="inlineStr">
        <is>
          <t>H2 Front collision</t>
        </is>
      </c>
      <c r="E73" s="6" t="n">
        <v>11</v>
      </c>
      <c r="F73" s="6" t="n"/>
      <c r="G73" s="6" t="inlineStr">
        <is>
          <t>Excessive Acceleration, Insufficient Deceleration, No Deceleration, No Steering, Unintended Acceleration</t>
        </is>
      </c>
      <c r="H73" s="6" t="inlineStr">
        <is>
          <t>LC-TGT-03, RMP-01, RMP-03, RMP-04, RMP-05, RMP-13, RMP-14, LC-RD-03</t>
        </is>
      </c>
      <c r="I73" s="6">
        <f>IF(H73="",0,LEN(H73)-LEN(SUBSTITUTE(H73,",",""))+1)</f>
        <v/>
      </c>
      <c r="J73" s="6">
        <f>IF(I73&gt;0,"couvert","trou")</f>
        <v/>
      </c>
      <c r="K73" s="6" t="inlineStr"/>
    </row>
    <row r="74">
      <c r="A74" s="6" t="inlineStr">
        <is>
          <t>Highway</t>
        </is>
      </c>
      <c r="B74" s="6" t="inlineStr">
        <is>
          <t>HW-ONR</t>
        </is>
      </c>
      <c r="C74" s="6" t="inlineStr">
        <is>
          <t>Hazard</t>
        </is>
      </c>
      <c r="D74" s="6" t="inlineStr">
        <is>
          <t>H3 Rear-end by follower</t>
        </is>
      </c>
      <c r="E74" s="6" t="n">
        <v>12</v>
      </c>
      <c r="F74" s="6" t="n"/>
      <c r="G74" s="6" t="inlineStr">
        <is>
          <t>Excessive Deceleration, Insufficient Acceleration, Insufficient Steering, No Acceleration, Unintended Deceleration</t>
        </is>
      </c>
      <c r="H74" s="6" t="inlineStr">
        <is>
          <t>LC-TGT-03, RMP-01, RMP-02, RMP-03, LC-RD-03</t>
        </is>
      </c>
      <c r="I74" s="6">
        <f>IF(H74="",0,LEN(H74)-LEN(SUBSTITUTE(H74,",",""))+1)</f>
        <v/>
      </c>
      <c r="J74" s="6">
        <f>IF(I74&gt;0,"couvert","trou")</f>
        <v/>
      </c>
      <c r="K74" s="6" t="inlineStr"/>
    </row>
    <row r="75">
      <c r="A75" s="6" t="inlineStr">
        <is>
          <t>Highway</t>
        </is>
      </c>
      <c r="B75" s="6" t="inlineStr">
        <is>
          <t>HW-ONR</t>
        </is>
      </c>
      <c r="C75" s="6" t="inlineStr">
        <is>
          <t>Hazard</t>
        </is>
      </c>
      <c r="D75" s="6" t="inlineStr">
        <is>
          <t>H4 Intent not communicated</t>
        </is>
      </c>
      <c r="E75" s="6" t="n">
        <v>2</v>
      </c>
      <c r="F75" s="6" t="n"/>
      <c r="G75" s="6" t="inlineStr">
        <is>
          <t>Steering too late, Unintended Turn Signal</t>
        </is>
      </c>
      <c r="H75" s="6" t="inlineStr">
        <is>
          <t>LC-TGT-03, RMP-01, RMP-02, RMP-03, RMP-04, RMP-05, RMP-13, RMP-14, LC-RD-03</t>
        </is>
      </c>
      <c r="I75" s="6">
        <f>IF(H75="",0,LEN(H75)-LEN(SUBSTITUTE(H75,",",""))+1)</f>
        <v/>
      </c>
      <c r="J75" s="6">
        <f>IF(I75&gt;0,"couvert","trou")</f>
        <v/>
      </c>
      <c r="K75" s="6" t="inlineStr"/>
    </row>
    <row r="76">
      <c r="A76" s="6" t="inlineStr">
        <is>
          <t>Highway</t>
        </is>
      </c>
      <c r="B76" s="6" t="inlineStr">
        <is>
          <t>HW-ONR</t>
        </is>
      </c>
      <c r="C76" s="6" t="inlineStr">
        <is>
          <t>Hazard</t>
        </is>
      </c>
      <c r="D76" s="6" t="inlineStr">
        <is>
          <t>H5 Loss of stability / control</t>
        </is>
      </c>
      <c r="E76" s="6" t="n">
        <v>12</v>
      </c>
      <c r="F76" s="6" t="n"/>
      <c r="G76" s="6" t="inlineStr">
        <is>
          <t>Excessive Acceleration, Excessive Deceleration, Excessive Steering, Insufficient Acceleration, Insufficient Deceleration, Insufficient Steering, No Deceleration, No Steering</t>
        </is>
      </c>
      <c r="H76" s="6" t="inlineStr">
        <is>
          <t>RMP-14</t>
        </is>
      </c>
      <c r="I76" s="6">
        <f>IF(H76="",0,LEN(H76)-LEN(SUBSTITUTE(H76,",",""))+1)</f>
        <v/>
      </c>
      <c r="J76" s="6">
        <f>IF(I76&gt;0,"couvert","trou")</f>
        <v/>
      </c>
      <c r="K76" s="6" t="inlineStr"/>
    </row>
    <row r="77">
      <c r="A77" s="6" t="inlineStr">
        <is>
          <t>Highway</t>
        </is>
      </c>
      <c r="B77" s="6" t="inlineStr">
        <is>
          <t>HW-ONR</t>
        </is>
      </c>
      <c r="C77" s="6" t="inlineStr">
        <is>
          <t>Condition ODD</t>
        </is>
      </c>
      <c r="D77" s="6" t="inlineStr">
        <is>
          <t>Slope — steep grade (up to ±8 %)</t>
        </is>
      </c>
      <c r="E77" s="6" t="n">
        <v>1</v>
      </c>
      <c r="F77" s="6" t="n"/>
      <c r="G77" s="6" t="inlineStr">
        <is>
          <t>Insufficient Acceleration</t>
        </is>
      </c>
      <c r="H77" s="6" t="inlineStr">
        <is>
          <t>RMP-14</t>
        </is>
      </c>
      <c r="I77" s="6">
        <f>IF(H77="",0,LEN(H77)-LEN(SUBSTITUTE(H77,",",""))+1)</f>
        <v/>
      </c>
      <c r="J77" s="6">
        <f>IF(I77&gt;0,"couvert","trou")</f>
        <v/>
      </c>
      <c r="K77" s="6" t="inlineStr"/>
    </row>
    <row r="78">
      <c r="A78" s="6" t="inlineStr">
        <is>
          <t>Urban</t>
        </is>
      </c>
      <c r="B78" s="6" t="inlineStr">
        <is>
          <t>URB-CRU</t>
        </is>
      </c>
      <c r="C78" s="6" t="inlineStr">
        <is>
          <t>Hazard</t>
        </is>
      </c>
      <c r="D78" s="6" t="inlineStr">
        <is>
          <t>H1 Side collision</t>
        </is>
      </c>
      <c r="E78" s="6" t="n">
        <v>17</v>
      </c>
      <c r="F78" s="6" t="n"/>
      <c r="G78" s="6" t="inlineStr">
        <is>
          <t>Excessive Steering, Insufficient Steering, No Acceleration, No Deceleration, No Steering, Steering for too long / stuck, Steering in opposite direction, Unintended Steering</t>
        </is>
      </c>
      <c r="H78" s="6" t="inlineStr">
        <is>
          <t>LV-01, URB-11</t>
        </is>
      </c>
      <c r="I78" s="6">
        <f>IF(H78="",0,LEN(H78)-LEN(SUBSTITUTE(H78,",",""))+1)</f>
        <v/>
      </c>
      <c r="J78" s="6">
        <f>IF(I78&gt;0,"couvert","trou")</f>
        <v/>
      </c>
      <c r="K78" s="6" t="inlineStr"/>
    </row>
    <row r="79">
      <c r="A79" s="6" t="inlineStr">
        <is>
          <t>Urban</t>
        </is>
      </c>
      <c r="B79" s="6" t="inlineStr">
        <is>
          <t>URB-CRU</t>
        </is>
      </c>
      <c r="C79" s="6" t="inlineStr">
        <is>
          <t>Hazard</t>
        </is>
      </c>
      <c r="D79" s="6" t="inlineStr">
        <is>
          <t>H2 Front collision</t>
        </is>
      </c>
      <c r="E79" s="6" t="n">
        <v>11</v>
      </c>
      <c r="F79" s="6" t="n"/>
      <c r="G79" s="6" t="inlineStr">
        <is>
          <t>Excessive Acceleration, Insufficient Deceleration, No Deceleration, No Steering, Unintended Acceleration</t>
        </is>
      </c>
      <c r="H79" s="6" t="inlineStr">
        <is>
          <t>URB-09, URB-10, URB-11, URB-15</t>
        </is>
      </c>
      <c r="I79" s="6">
        <f>IF(H79="",0,LEN(H79)-LEN(SUBSTITUTE(H79,",",""))+1)</f>
        <v/>
      </c>
      <c r="J79" s="6">
        <f>IF(I79&gt;0,"couvert","trou")</f>
        <v/>
      </c>
      <c r="K79" s="6" t="inlineStr"/>
    </row>
    <row r="80">
      <c r="A80" s="6" t="inlineStr">
        <is>
          <t>Urban</t>
        </is>
      </c>
      <c r="B80" s="6" t="inlineStr">
        <is>
          <t>URB-CRU</t>
        </is>
      </c>
      <c r="C80" s="6" t="inlineStr">
        <is>
          <t>Hazard</t>
        </is>
      </c>
      <c r="D80" s="6" t="inlineStr">
        <is>
          <t>H3 Rear-end by follower</t>
        </is>
      </c>
      <c r="E80" s="6" t="n">
        <v>11</v>
      </c>
      <c r="F80" s="6" t="n"/>
      <c r="G80" s="6" t="inlineStr">
        <is>
          <t>Excessive Deceleration, Insufficient Acceleration, Insufficient Steering, No Acceleration, Unintended Deceleration</t>
        </is>
      </c>
      <c r="H80" s="6" t="inlineStr"/>
      <c r="I80" s="6">
        <f>IF(H80="",0,LEN(H80)-LEN(SUBSTITUTE(H80,",",""))+1)</f>
        <v/>
      </c>
      <c r="J80" s="6">
        <f>IF(I80&gt;0,"couvert","trou")</f>
        <v/>
      </c>
      <c r="K80" s="6" t="inlineStr">
        <is>
          <t>catalogue urbain / hub à compléter (jalon 2)</t>
        </is>
      </c>
    </row>
    <row r="81">
      <c r="A81" s="6" t="inlineStr">
        <is>
          <t>Urban</t>
        </is>
      </c>
      <c r="B81" s="6" t="inlineStr">
        <is>
          <t>URB-CRU</t>
        </is>
      </c>
      <c r="C81" s="6" t="inlineStr">
        <is>
          <t>Hazard</t>
        </is>
      </c>
      <c r="D81" s="6" t="inlineStr">
        <is>
          <t>H4 Intent not communicated</t>
        </is>
      </c>
      <c r="E81" s="6" t="n">
        <v>2</v>
      </c>
      <c r="F81" s="6" t="n"/>
      <c r="G81" s="6" t="inlineStr">
        <is>
          <t>Steering too late, Unintended Turn Signal</t>
        </is>
      </c>
      <c r="H81" s="6" t="inlineStr"/>
      <c r="I81" s="6">
        <f>IF(H81="",0,LEN(H81)-LEN(SUBSTITUTE(H81,",",""))+1)</f>
        <v/>
      </c>
      <c r="J81" s="6">
        <f>IF(I81&gt;0,"couvert","trou")</f>
        <v/>
      </c>
      <c r="K81" s="6" t="inlineStr">
        <is>
          <t>catalogue urbain / hub à compléter (jalon 2)</t>
        </is>
      </c>
    </row>
    <row r="82">
      <c r="A82" s="6" t="inlineStr">
        <is>
          <t>Urban</t>
        </is>
      </c>
      <c r="B82" s="6" t="inlineStr">
        <is>
          <t>URB-CRU</t>
        </is>
      </c>
      <c r="C82" s="6" t="inlineStr">
        <is>
          <t>Hazard</t>
        </is>
      </c>
      <c r="D82" s="6" t="inlineStr">
        <is>
          <t>H5 Loss of stability / control</t>
        </is>
      </c>
      <c r="E82" s="6" t="n">
        <v>12</v>
      </c>
      <c r="F82" s="6" t="n"/>
      <c r="G82" s="6" t="inlineStr">
        <is>
          <t>Excessive Acceleration, Excessive Deceleration, Excessive Steering, Insufficient Acceleration, Insufficient Deceleration, Insufficient Steering, No Deceleration, No Steering</t>
        </is>
      </c>
      <c r="H82" s="6" t="inlineStr">
        <is>
          <t>LV-01</t>
        </is>
      </c>
      <c r="I82" s="6">
        <f>IF(H82="",0,LEN(H82)-LEN(SUBSTITUTE(H82,",",""))+1)</f>
        <v/>
      </c>
      <c r="J82" s="6">
        <f>IF(I82&gt;0,"couvert","trou")</f>
        <v/>
      </c>
      <c r="K82" s="6" t="inlineStr"/>
    </row>
    <row r="83">
      <c r="A83" s="6" t="inlineStr">
        <is>
          <t>Urban</t>
        </is>
      </c>
      <c r="B83" s="6" t="inlineStr">
        <is>
          <t>URB-ELM</t>
        </is>
      </c>
      <c r="C83" s="6" t="inlineStr">
        <is>
          <t>Hazard</t>
        </is>
      </c>
      <c r="D83" s="6" t="inlineStr">
        <is>
          <t>H1 Side collision</t>
        </is>
      </c>
      <c r="E83" s="6" t="n">
        <v>6</v>
      </c>
      <c r="F83" s="6" t="n">
        <v>6</v>
      </c>
      <c r="G83" s="6" t="inlineStr">
        <is>
          <t>Excessive Steering, Insufficient Steering, No Steering, Steering for too long / stuck, Steering in opposite direction, Unintended Steering</t>
        </is>
      </c>
      <c r="H83" s="6" t="inlineStr"/>
      <c r="I83" s="6">
        <f>IF(H83="",0,LEN(H83)-LEN(SUBSTITUTE(H83,",",""))+1)</f>
        <v/>
      </c>
      <c r="J83" s="6">
        <f>IF(I83&gt;0,"couvert","trou")</f>
        <v/>
      </c>
      <c r="K83" s="6" t="inlineStr">
        <is>
          <t>catalogue urbain / hub à compléter (jalon 2)</t>
        </is>
      </c>
    </row>
    <row r="84">
      <c r="A84" s="6" t="inlineStr">
        <is>
          <t>Urban</t>
        </is>
      </c>
      <c r="B84" s="6" t="inlineStr">
        <is>
          <t>URB-ELM</t>
        </is>
      </c>
      <c r="C84" s="6" t="inlineStr">
        <is>
          <t>Hazard</t>
        </is>
      </c>
      <c r="D84" s="6" t="inlineStr">
        <is>
          <t>H2 Front collision</t>
        </is>
      </c>
      <c r="E84" s="6" t="n">
        <v>3</v>
      </c>
      <c r="F84" s="6" t="n">
        <v>3</v>
      </c>
      <c r="G84" s="6" t="inlineStr">
        <is>
          <t>Excessive Acceleration, No Deceleration, Unintended Acceleration</t>
        </is>
      </c>
      <c r="H84" s="6" t="inlineStr">
        <is>
          <t>URB-15</t>
        </is>
      </c>
      <c r="I84" s="6">
        <f>IF(H84="",0,LEN(H84)-LEN(SUBSTITUTE(H84,",",""))+1)</f>
        <v/>
      </c>
      <c r="J84" s="6">
        <f>IF(I84&gt;0,"couvert","trou")</f>
        <v/>
      </c>
      <c r="K84" s="6" t="inlineStr"/>
    </row>
    <row r="85">
      <c r="A85" s="6" t="inlineStr">
        <is>
          <t>Urban</t>
        </is>
      </c>
      <c r="B85" s="6" t="inlineStr">
        <is>
          <t>URB-ELM</t>
        </is>
      </c>
      <c r="C85" s="6" t="inlineStr">
        <is>
          <t>Hazard</t>
        </is>
      </c>
      <c r="D85" s="6" t="inlineStr">
        <is>
          <t>H3 Rear-end by follower</t>
        </is>
      </c>
      <c r="E85" s="6" t="n">
        <v>4</v>
      </c>
      <c r="F85" s="6" t="n">
        <v>4</v>
      </c>
      <c r="G85" s="6" t="inlineStr">
        <is>
          <t>Excessive Deceleration, Hazard Lights too late, No Acceleration, Unintended Deceleration</t>
        </is>
      </c>
      <c r="H85" s="6" t="inlineStr"/>
      <c r="I85" s="6">
        <f>IF(H85="",0,LEN(H85)-LEN(SUBSTITUTE(H85,",",""))+1)</f>
        <v/>
      </c>
      <c r="J85" s="6">
        <f>IF(I85&gt;0,"couvert","trou")</f>
        <v/>
      </c>
      <c r="K85" s="6" t="inlineStr">
        <is>
          <t>catalogue urbain / hub à compléter (jalon 2)</t>
        </is>
      </c>
    </row>
    <row r="86">
      <c r="A86" s="6" t="inlineStr">
        <is>
          <t>Urban</t>
        </is>
      </c>
      <c r="B86" s="6" t="inlineStr">
        <is>
          <t>URB-ELM</t>
        </is>
      </c>
      <c r="C86" s="6" t="inlineStr">
        <is>
          <t>Hazard</t>
        </is>
      </c>
      <c r="D86" s="6" t="inlineStr">
        <is>
          <t>H4 Intent not communicated</t>
        </is>
      </c>
      <c r="E86" s="6" t="n">
        <v>2</v>
      </c>
      <c r="F86" s="6" t="n">
        <v>2</v>
      </c>
      <c r="G86" s="6" t="inlineStr">
        <is>
          <t>No Hazard Lights, Unintended Hazard Lights</t>
        </is>
      </c>
      <c r="H86" s="6" t="inlineStr"/>
      <c r="I86" s="6">
        <f>IF(H86="",0,LEN(H86)-LEN(SUBSTITUTE(H86,",",""))+1)</f>
        <v/>
      </c>
      <c r="J86" s="6">
        <f>IF(I86&gt;0,"couvert","trou")</f>
        <v/>
      </c>
      <c r="K86" s="6" t="inlineStr">
        <is>
          <t>catalogue urbain / hub à compléter (jalon 2)</t>
        </is>
      </c>
    </row>
    <row r="87">
      <c r="A87" s="6" t="inlineStr">
        <is>
          <t>Urban</t>
        </is>
      </c>
      <c r="B87" s="6" t="inlineStr">
        <is>
          <t>URB-ELM</t>
        </is>
      </c>
      <c r="C87" s="6" t="inlineStr">
        <is>
          <t>Hazard</t>
        </is>
      </c>
      <c r="D87" s="6" t="inlineStr">
        <is>
          <t>H5 Loss of stability / control</t>
        </is>
      </c>
      <c r="E87" s="6" t="n">
        <v>4</v>
      </c>
      <c r="F87" s="6" t="n">
        <v>4</v>
      </c>
      <c r="G87" s="6" t="inlineStr">
        <is>
          <t>Excessive Deceleration, Insufficient Deceleration, No Deceleration, Unintended Deceleration</t>
        </is>
      </c>
      <c r="H87" s="6" t="inlineStr"/>
      <c r="I87" s="6">
        <f>IF(H87="",0,LEN(H87)-LEN(SUBSTITUTE(H87,",",""))+1)</f>
        <v/>
      </c>
      <c r="J87" s="6">
        <f>IF(I87&gt;0,"couvert","trou")</f>
        <v/>
      </c>
      <c r="K87" s="6" t="inlineStr">
        <is>
          <t>catalogue urbain / hub à compléter (jalon 2)</t>
        </is>
      </c>
    </row>
    <row r="88">
      <c r="A88" s="6" t="inlineStr">
        <is>
          <t>Urban</t>
        </is>
      </c>
      <c r="B88" s="6" t="inlineStr">
        <is>
          <t>URB-FOL</t>
        </is>
      </c>
      <c r="C88" s="6" t="inlineStr">
        <is>
          <t>Hazard</t>
        </is>
      </c>
      <c r="D88" s="6" t="inlineStr">
        <is>
          <t>H1 Side collision</t>
        </is>
      </c>
      <c r="E88" s="6" t="n">
        <v>17</v>
      </c>
      <c r="F88" s="6" t="n"/>
      <c r="G88" s="6" t="inlineStr">
        <is>
          <t>Excessive Steering, Insufficient Steering, No Acceleration, No Deceleration, No Steering, Steering for too long / stuck, Steering in opposite direction, Unintended Steering</t>
        </is>
      </c>
      <c r="H88" s="6" t="inlineStr">
        <is>
          <t>CI-01, URB-11, URB-12</t>
        </is>
      </c>
      <c r="I88" s="6">
        <f>IF(H88="",0,LEN(H88)-LEN(SUBSTITUTE(H88,",",""))+1)</f>
        <v/>
      </c>
      <c r="J88" s="6">
        <f>IF(I88&gt;0,"couvert","trou")</f>
        <v/>
      </c>
      <c r="K88" s="6" t="inlineStr"/>
    </row>
    <row r="89">
      <c r="A89" s="6" t="inlineStr">
        <is>
          <t>Urban</t>
        </is>
      </c>
      <c r="B89" s="6" t="inlineStr">
        <is>
          <t>URB-FOL</t>
        </is>
      </c>
      <c r="C89" s="6" t="inlineStr">
        <is>
          <t>Hazard</t>
        </is>
      </c>
      <c r="D89" s="6" t="inlineStr">
        <is>
          <t>H2 Front collision</t>
        </is>
      </c>
      <c r="E89" s="6" t="n">
        <v>11</v>
      </c>
      <c r="F89" s="6" t="n"/>
      <c r="G89" s="6" t="inlineStr">
        <is>
          <t>Excessive Acceleration, Insufficient Deceleration, No Deceleration, No Steering, Unintended Acceleration</t>
        </is>
      </c>
      <c r="H89" s="6" t="inlineStr">
        <is>
          <t>LV-02, LV-03, LV-04, LV-05, LV-06, LV-07, CI-01, URB-10, URB-11, URB-12, URB-13, URB-16</t>
        </is>
      </c>
      <c r="I89" s="6">
        <f>IF(H89="",0,LEN(H89)-LEN(SUBSTITUTE(H89,",",""))+1)</f>
        <v/>
      </c>
      <c r="J89" s="6">
        <f>IF(I89&gt;0,"couvert","trou")</f>
        <v/>
      </c>
      <c r="K89" s="6" t="inlineStr"/>
    </row>
    <row r="90">
      <c r="A90" s="6" t="inlineStr">
        <is>
          <t>Urban</t>
        </is>
      </c>
      <c r="B90" s="6" t="inlineStr">
        <is>
          <t>URB-FOL</t>
        </is>
      </c>
      <c r="C90" s="6" t="inlineStr">
        <is>
          <t>Hazard</t>
        </is>
      </c>
      <c r="D90" s="6" t="inlineStr">
        <is>
          <t>H3 Rear-end by follower</t>
        </is>
      </c>
      <c r="E90" s="6" t="n">
        <v>11</v>
      </c>
      <c r="F90" s="6" t="n"/>
      <c r="G90" s="6" t="inlineStr">
        <is>
          <t>Excessive Deceleration, Insufficient Acceleration, Insufficient Steering, No Acceleration, Unintended Deceleration</t>
        </is>
      </c>
      <c r="H90" s="6" t="inlineStr">
        <is>
          <t>LV-03, LV-04, LV-05, LV-06, LV-07, URB-12, URB-13, URB-16</t>
        </is>
      </c>
      <c r="I90" s="6">
        <f>IF(H90="",0,LEN(H90)-LEN(SUBSTITUTE(H90,",",""))+1)</f>
        <v/>
      </c>
      <c r="J90" s="6">
        <f>IF(I90&gt;0,"couvert","trou")</f>
        <v/>
      </c>
      <c r="K90" s="6" t="inlineStr"/>
    </row>
    <row r="91">
      <c r="A91" s="6" t="inlineStr">
        <is>
          <t>Urban</t>
        </is>
      </c>
      <c r="B91" s="6" t="inlineStr">
        <is>
          <t>URB-FOL</t>
        </is>
      </c>
      <c r="C91" s="6" t="inlineStr">
        <is>
          <t>Hazard</t>
        </is>
      </c>
      <c r="D91" s="6" t="inlineStr">
        <is>
          <t>H4 Intent not communicated</t>
        </is>
      </c>
      <c r="E91" s="6" t="n">
        <v>2</v>
      </c>
      <c r="F91" s="6" t="n"/>
      <c r="G91" s="6" t="inlineStr">
        <is>
          <t>Steering too late, Unintended Turn Signal</t>
        </is>
      </c>
      <c r="H91" s="6" t="inlineStr"/>
      <c r="I91" s="6">
        <f>IF(H91="",0,LEN(H91)-LEN(SUBSTITUTE(H91,",",""))+1)</f>
        <v/>
      </c>
      <c r="J91" s="6">
        <f>IF(I91&gt;0,"couvert","trou")</f>
        <v/>
      </c>
      <c r="K91" s="6" t="inlineStr">
        <is>
          <t>catalogue urbain / hub à compléter (jalon 2)</t>
        </is>
      </c>
    </row>
    <row r="92">
      <c r="A92" s="6" t="inlineStr">
        <is>
          <t>Urban</t>
        </is>
      </c>
      <c r="B92" s="6" t="inlineStr">
        <is>
          <t>URB-FOL</t>
        </is>
      </c>
      <c r="C92" s="6" t="inlineStr">
        <is>
          <t>Hazard</t>
        </is>
      </c>
      <c r="D92" s="6" t="inlineStr">
        <is>
          <t>H5 Loss of stability / control</t>
        </is>
      </c>
      <c r="E92" s="6" t="n">
        <v>12</v>
      </c>
      <c r="F92" s="6" t="n"/>
      <c r="G92" s="6" t="inlineStr">
        <is>
          <t>Excessive Acceleration, Excessive Deceleration, Excessive Steering, Insufficient Acceleration, Insufficient Deceleration, Insufficient Steering, No Deceleration, No Steering</t>
        </is>
      </c>
      <c r="H92" s="6" t="inlineStr"/>
      <c r="I92" s="6">
        <f>IF(H92="",0,LEN(H92)-LEN(SUBSTITUTE(H92,",",""))+1)</f>
        <v/>
      </c>
      <c r="J92" s="6">
        <f>IF(I92&gt;0,"couvert","trou")</f>
        <v/>
      </c>
      <c r="K92" s="6" t="inlineStr">
        <is>
          <t>catalogue urbain / hub à compléter (jalon 2)</t>
        </is>
      </c>
    </row>
    <row r="93">
      <c r="A93" s="6" t="inlineStr">
        <is>
          <t>Urban</t>
        </is>
      </c>
      <c r="B93" s="6" t="inlineStr">
        <is>
          <t>URB-LC</t>
        </is>
      </c>
      <c r="C93" s="6" t="inlineStr">
        <is>
          <t>Hazard</t>
        </is>
      </c>
      <c r="D93" s="6" t="inlineStr">
        <is>
          <t>H1 Side collision</t>
        </is>
      </c>
      <c r="E93" s="6" t="n">
        <v>24</v>
      </c>
      <c r="F93" s="6" t="n"/>
      <c r="G93" s="6" t="inlineStr">
        <is>
          <t>Excessive Steering, Insufficient Steering, No Acceleration, No Deceleration, No Steering, No Turn Signal, Steering for too long / stuck, Steering in opposite direction</t>
        </is>
      </c>
      <c r="H93" s="6" t="inlineStr">
        <is>
          <t>LC-NOM-01, LC-NOM-02, LC-TGT-01, LC-CUR-01, URB-10, URB-12, URB-13</t>
        </is>
      </c>
      <c r="I93" s="6">
        <f>IF(H93="",0,LEN(H93)-LEN(SUBSTITUTE(H93,",",""))+1)</f>
        <v/>
      </c>
      <c r="J93" s="6">
        <f>IF(I93&gt;0,"couvert","trou")</f>
        <v/>
      </c>
      <c r="K93" s="6" t="inlineStr"/>
    </row>
    <row r="94">
      <c r="A94" s="6" t="inlineStr">
        <is>
          <t>Urban</t>
        </is>
      </c>
      <c r="B94" s="6" t="inlineStr">
        <is>
          <t>URB-LC</t>
        </is>
      </c>
      <c r="C94" s="6" t="inlineStr">
        <is>
          <t>Hazard</t>
        </is>
      </c>
      <c r="D94" s="6" t="inlineStr">
        <is>
          <t>H2 Front collision</t>
        </is>
      </c>
      <c r="E94" s="6" t="n">
        <v>11</v>
      </c>
      <c r="F94" s="6" t="n"/>
      <c r="G94" s="6" t="inlineStr">
        <is>
          <t>Excessive Acceleration, Insufficient Deceleration, No Deceleration, No Steering, Unintended Acceleration</t>
        </is>
      </c>
      <c r="H94" s="6" t="inlineStr">
        <is>
          <t>LC-NOM-02, LC-TGT-01, LC-CUR-01, URB-10, URB-12, URB-13</t>
        </is>
      </c>
      <c r="I94" s="6">
        <f>IF(H94="",0,LEN(H94)-LEN(SUBSTITUTE(H94,",",""))+1)</f>
        <v/>
      </c>
      <c r="J94" s="6">
        <f>IF(I94&gt;0,"couvert","trou")</f>
        <v/>
      </c>
      <c r="K94" s="6" t="inlineStr"/>
    </row>
    <row r="95">
      <c r="A95" s="6" t="inlineStr">
        <is>
          <t>Urban</t>
        </is>
      </c>
      <c r="B95" s="6" t="inlineStr">
        <is>
          <t>URB-LC</t>
        </is>
      </c>
      <c r="C95" s="6" t="inlineStr">
        <is>
          <t>Hazard</t>
        </is>
      </c>
      <c r="D95" s="6" t="inlineStr">
        <is>
          <t>H3 Rear-end by follower</t>
        </is>
      </c>
      <c r="E95" s="6" t="n">
        <v>11</v>
      </c>
      <c r="F95" s="6" t="n"/>
      <c r="G95" s="6" t="inlineStr">
        <is>
          <t>Excessive Deceleration, Insufficient Acceleration, Insufficient Steering, No Acceleration, Unintended Deceleration</t>
        </is>
      </c>
      <c r="H95" s="6" t="inlineStr">
        <is>
          <t>LC-NOM-02, LC-TGT-01, LC-CUR-01, URB-12, URB-13</t>
        </is>
      </c>
      <c r="I95" s="6">
        <f>IF(H95="",0,LEN(H95)-LEN(SUBSTITUTE(H95,",",""))+1)</f>
        <v/>
      </c>
      <c r="J95" s="6">
        <f>IF(I95&gt;0,"couvert","trou")</f>
        <v/>
      </c>
      <c r="K95" s="6" t="inlineStr"/>
    </row>
    <row r="96">
      <c r="A96" s="6" t="inlineStr">
        <is>
          <t>Urban</t>
        </is>
      </c>
      <c r="B96" s="6" t="inlineStr">
        <is>
          <t>URB-LC</t>
        </is>
      </c>
      <c r="C96" s="6" t="inlineStr">
        <is>
          <t>Hazard</t>
        </is>
      </c>
      <c r="D96" s="6" t="inlineStr">
        <is>
          <t>H4 Intent not communicated</t>
        </is>
      </c>
      <c r="E96" s="6" t="n">
        <v>2</v>
      </c>
      <c r="F96" s="6" t="n"/>
      <c r="G96" s="6" t="inlineStr">
        <is>
          <t>Steering too late, Unintended Turn Signal</t>
        </is>
      </c>
      <c r="H96" s="6" t="inlineStr">
        <is>
          <t>LC-NOM-01, LC-NOM-02, LC-TGT-01, LC-CUR-01, URB-10, URB-12, URB-13</t>
        </is>
      </c>
      <c r="I96" s="6">
        <f>IF(H96="",0,LEN(H96)-LEN(SUBSTITUTE(H96,",",""))+1)</f>
        <v/>
      </c>
      <c r="J96" s="6">
        <f>IF(I96&gt;0,"couvert","trou")</f>
        <v/>
      </c>
      <c r="K96" s="6" t="inlineStr"/>
    </row>
    <row r="97">
      <c r="A97" s="6" t="inlineStr">
        <is>
          <t>Urban</t>
        </is>
      </c>
      <c r="B97" s="6" t="inlineStr">
        <is>
          <t>URB-LC</t>
        </is>
      </c>
      <c r="C97" s="6" t="inlineStr">
        <is>
          <t>Hazard</t>
        </is>
      </c>
      <c r="D97" s="6" t="inlineStr">
        <is>
          <t>H5 Loss of stability / control</t>
        </is>
      </c>
      <c r="E97" s="6" t="n">
        <v>12</v>
      </c>
      <c r="F97" s="6" t="n"/>
      <c r="G97" s="6" t="inlineStr">
        <is>
          <t>Excessive Acceleration, Excessive Deceleration, Excessive Steering, Insufficient Acceleration, Insufficient Deceleration, Insufficient Steering, No Deceleration, No Steering</t>
        </is>
      </c>
      <c r="H97" s="6" t="inlineStr">
        <is>
          <t>LC-NOM-01</t>
        </is>
      </c>
      <c r="I97" s="6">
        <f>IF(H97="",0,LEN(H97)-LEN(SUBSTITUTE(H97,",",""))+1)</f>
        <v/>
      </c>
      <c r="J97" s="6">
        <f>IF(I97&gt;0,"couvert","trou")</f>
        <v/>
      </c>
      <c r="K97" s="6" t="inlineStr"/>
    </row>
    <row r="98">
      <c r="A98" s="6" t="inlineStr">
        <is>
          <t>Urban</t>
        </is>
      </c>
      <c r="B98" s="6" t="inlineStr">
        <is>
          <t>URB-SIL</t>
        </is>
      </c>
      <c r="C98" s="6" t="inlineStr">
        <is>
          <t>Hazard</t>
        </is>
      </c>
      <c r="D98" s="6" t="inlineStr">
        <is>
          <t>H1 Side collision</t>
        </is>
      </c>
      <c r="E98" s="6" t="n">
        <v>6</v>
      </c>
      <c r="F98" s="6" t="n">
        <v>6</v>
      </c>
      <c r="G98" s="6" t="inlineStr">
        <is>
          <t>Excessive Steering, Insufficient Steering, No Steering, Steering for too long / stuck, Steering in opposite direction, Unintended Steering</t>
        </is>
      </c>
      <c r="H98" s="6" t="inlineStr">
        <is>
          <t>URB-12, URB-14</t>
        </is>
      </c>
      <c r="I98" s="6">
        <f>IF(H98="",0,LEN(H98)-LEN(SUBSTITUTE(H98,",",""))+1)</f>
        <v/>
      </c>
      <c r="J98" s="6">
        <f>IF(I98&gt;0,"couvert","trou")</f>
        <v/>
      </c>
      <c r="K98" s="6" t="inlineStr"/>
    </row>
    <row r="99">
      <c r="A99" s="6" t="inlineStr">
        <is>
          <t>Urban</t>
        </is>
      </c>
      <c r="B99" s="6" t="inlineStr">
        <is>
          <t>URB-SIL</t>
        </is>
      </c>
      <c r="C99" s="6" t="inlineStr">
        <is>
          <t>Hazard</t>
        </is>
      </c>
      <c r="D99" s="6" t="inlineStr">
        <is>
          <t>H2 Front collision</t>
        </is>
      </c>
      <c r="E99" s="6" t="n">
        <v>3</v>
      </c>
      <c r="F99" s="6" t="n">
        <v>3</v>
      </c>
      <c r="G99" s="6" t="inlineStr">
        <is>
          <t>Excessive Acceleration, No Deceleration, Unintended Acceleration</t>
        </is>
      </c>
      <c r="H99" s="6" t="inlineStr">
        <is>
          <t>URB-12</t>
        </is>
      </c>
      <c r="I99" s="6">
        <f>IF(H99="",0,LEN(H99)-LEN(SUBSTITUTE(H99,",",""))+1)</f>
        <v/>
      </c>
      <c r="J99" s="6">
        <f>IF(I99&gt;0,"couvert","trou")</f>
        <v/>
      </c>
      <c r="K99" s="6" t="inlineStr"/>
    </row>
    <row r="100">
      <c r="A100" s="6" t="inlineStr">
        <is>
          <t>Urban</t>
        </is>
      </c>
      <c r="B100" s="6" t="inlineStr">
        <is>
          <t>URB-SIL</t>
        </is>
      </c>
      <c r="C100" s="6" t="inlineStr">
        <is>
          <t>Hazard</t>
        </is>
      </c>
      <c r="D100" s="6" t="inlineStr">
        <is>
          <t>H3 Rear-end by follower</t>
        </is>
      </c>
      <c r="E100" s="6" t="n">
        <v>7</v>
      </c>
      <c r="F100" s="6" t="n">
        <v>7</v>
      </c>
      <c r="G100" s="6" t="inlineStr">
        <is>
          <t>Brake Lights too late, Excessive Deceleration, Hazard Lights too late, No Acceleration, No Brake Lights, Unintended Deceleration</t>
        </is>
      </c>
      <c r="H100" s="6" t="inlineStr">
        <is>
          <t>FB-07, URB-12</t>
        </is>
      </c>
      <c r="I100" s="6">
        <f>IF(H100="",0,LEN(H100)-LEN(SUBSTITUTE(H100,",",""))+1)</f>
        <v/>
      </c>
      <c r="J100" s="6">
        <f>IF(I100&gt;0,"couvert","trou")</f>
        <v/>
      </c>
      <c r="K100" s="6" t="inlineStr"/>
    </row>
    <row r="101">
      <c r="A101" s="6" t="inlineStr">
        <is>
          <t>Urban</t>
        </is>
      </c>
      <c r="B101" s="6" t="inlineStr">
        <is>
          <t>URB-SIL</t>
        </is>
      </c>
      <c r="C101" s="6" t="inlineStr">
        <is>
          <t>Hazard</t>
        </is>
      </c>
      <c r="D101" s="6" t="inlineStr">
        <is>
          <t>H4 Intent not communicated</t>
        </is>
      </c>
      <c r="E101" s="6" t="n">
        <v>7</v>
      </c>
      <c r="F101" s="6" t="n">
        <v>7</v>
      </c>
      <c r="G101" s="6" t="inlineStr">
        <is>
          <t>Brake Lights for too long / stuck, No Hazard Lights, Unintended Brake Lights, Unintended Hazard Lights, Unintended Turn Signal</t>
        </is>
      </c>
      <c r="H101" s="6" t="inlineStr">
        <is>
          <t>FB-07, URB-12</t>
        </is>
      </c>
      <c r="I101" s="6">
        <f>IF(H101="",0,LEN(H101)-LEN(SUBSTITUTE(H101,",",""))+1)</f>
        <v/>
      </c>
      <c r="J101" s="6">
        <f>IF(I101&gt;0,"couvert","trou")</f>
        <v/>
      </c>
      <c r="K101" s="6" t="inlineStr"/>
    </row>
    <row r="102">
      <c r="A102" s="6" t="inlineStr">
        <is>
          <t>Urban</t>
        </is>
      </c>
      <c r="B102" s="6" t="inlineStr">
        <is>
          <t>URB-SIL</t>
        </is>
      </c>
      <c r="C102" s="6" t="inlineStr">
        <is>
          <t>Hazard</t>
        </is>
      </c>
      <c r="D102" s="6" t="inlineStr">
        <is>
          <t>H5 Loss of stability / control</t>
        </is>
      </c>
      <c r="E102" s="6" t="n">
        <v>4</v>
      </c>
      <c r="F102" s="6" t="n">
        <v>4</v>
      </c>
      <c r="G102" s="6" t="inlineStr">
        <is>
          <t>Excessive Deceleration, Insufficient Deceleration, No Deceleration, Unintended Deceleration</t>
        </is>
      </c>
      <c r="H102" s="6" t="inlineStr">
        <is>
          <t>FB-07</t>
        </is>
      </c>
      <c r="I102" s="6">
        <f>IF(H102="",0,LEN(H102)-LEN(SUBSTITUTE(H102,",",""))+1)</f>
        <v/>
      </c>
      <c r="J102" s="6">
        <f>IF(I102&gt;0,"couvert","trou")</f>
        <v/>
      </c>
      <c r="K102" s="6" t="inlineStr"/>
    </row>
    <row r="103">
      <c r="A103" s="6" t="inlineStr">
        <is>
          <t>Urban</t>
        </is>
      </c>
      <c r="B103" s="6" t="inlineStr">
        <is>
          <t>URB-STR</t>
        </is>
      </c>
      <c r="C103" s="6" t="inlineStr">
        <is>
          <t>Hazard</t>
        </is>
      </c>
      <c r="D103" s="6" t="inlineStr">
        <is>
          <t>H1 Side collision</t>
        </is>
      </c>
      <c r="E103" s="6" t="n">
        <v>14</v>
      </c>
      <c r="F103" s="6" t="n"/>
      <c r="G103" s="6" t="inlineStr">
        <is>
          <t>Excessive Steering, Insufficient Steering, No Deceleration, No Steering, Steering for too long / stuck, Steering in opposite direction, Unintended Steering</t>
        </is>
      </c>
      <c r="H103" s="6" t="inlineStr">
        <is>
          <t>URB-02, URB-03, URB-07, URB-14</t>
        </is>
      </c>
      <c r="I103" s="6">
        <f>IF(H103="",0,LEN(H103)-LEN(SUBSTITUTE(H103,",",""))+1)</f>
        <v/>
      </c>
      <c r="J103" s="6">
        <f>IF(I103&gt;0,"couvert","trou")</f>
        <v/>
      </c>
      <c r="K103" s="6" t="inlineStr"/>
    </row>
    <row r="104">
      <c r="A104" s="6" t="inlineStr">
        <is>
          <t>Urban</t>
        </is>
      </c>
      <c r="B104" s="6" t="inlineStr">
        <is>
          <t>URB-STR</t>
        </is>
      </c>
      <c r="C104" s="6" t="inlineStr">
        <is>
          <t>Hazard</t>
        </is>
      </c>
      <c r="D104" s="6" t="inlineStr">
        <is>
          <t>H2 Front collision</t>
        </is>
      </c>
      <c r="E104" s="6" t="n">
        <v>12</v>
      </c>
      <c r="F104" s="6" t="n"/>
      <c r="G104" s="6" t="inlineStr">
        <is>
          <t>Excessive Acceleration, Insufficient Deceleration, No Deceleration, No Steering, Unintended Acceleration</t>
        </is>
      </c>
      <c r="H104" s="6" t="inlineStr">
        <is>
          <t>URB-01</t>
        </is>
      </c>
      <c r="I104" s="6">
        <f>IF(H104="",0,LEN(H104)-LEN(SUBSTITUTE(H104,",",""))+1)</f>
        <v/>
      </c>
      <c r="J104" s="6">
        <f>IF(I104&gt;0,"couvert","trou")</f>
        <v/>
      </c>
      <c r="K104" s="6" t="inlineStr"/>
    </row>
    <row r="105">
      <c r="A105" s="6" t="inlineStr">
        <is>
          <t>Urban</t>
        </is>
      </c>
      <c r="B105" s="6" t="inlineStr">
        <is>
          <t>URB-STR</t>
        </is>
      </c>
      <c r="C105" s="6" t="inlineStr">
        <is>
          <t>Hazard</t>
        </is>
      </c>
      <c r="D105" s="6" t="inlineStr">
        <is>
          <t>H3 Rear-end by follower</t>
        </is>
      </c>
      <c r="E105" s="6" t="n">
        <v>15</v>
      </c>
      <c r="F105" s="6" t="n"/>
      <c r="G105" s="6" t="inlineStr">
        <is>
          <t>Brake Lights too late, Excessive Deceleration, Insufficient Acceleration, Insufficient Steering, No Acceleration, No Brake Lights, Unintended Deceleration</t>
        </is>
      </c>
      <c r="H105" s="6" t="inlineStr"/>
      <c r="I105" s="6">
        <f>IF(H105="",0,LEN(H105)-LEN(SUBSTITUTE(H105,",",""))+1)</f>
        <v/>
      </c>
      <c r="J105" s="6">
        <f>IF(I105&gt;0,"couvert","trou")</f>
        <v/>
      </c>
      <c r="K105" s="6" t="inlineStr">
        <is>
          <t>catalogue urbain / hub à compléter (jalon 2)</t>
        </is>
      </c>
    </row>
    <row r="106">
      <c r="A106" s="6" t="inlineStr">
        <is>
          <t>Urban</t>
        </is>
      </c>
      <c r="B106" s="6" t="inlineStr">
        <is>
          <t>URB-STR</t>
        </is>
      </c>
      <c r="C106" s="6" t="inlineStr">
        <is>
          <t>Hazard</t>
        </is>
      </c>
      <c r="D106" s="6" t="inlineStr">
        <is>
          <t>H4 Intent not communicated</t>
        </is>
      </c>
      <c r="E106" s="6" t="n">
        <v>4</v>
      </c>
      <c r="F106" s="6" t="n"/>
      <c r="G106" s="6" t="inlineStr">
        <is>
          <t>Brake Lights for too long / stuck, Steering too late, Unintended Brake Lights, Unintended Turn Signal</t>
        </is>
      </c>
      <c r="H106" s="6" t="inlineStr"/>
      <c r="I106" s="6">
        <f>IF(H106="",0,LEN(H106)-LEN(SUBSTITUTE(H106,",",""))+1)</f>
        <v/>
      </c>
      <c r="J106" s="6">
        <f>IF(I106&gt;0,"couvert","trou")</f>
        <v/>
      </c>
      <c r="K106" s="6" t="inlineStr">
        <is>
          <t>catalogue urbain / hub à compléter (jalon 2)</t>
        </is>
      </c>
    </row>
    <row r="107">
      <c r="A107" s="6" t="inlineStr">
        <is>
          <t>Urban</t>
        </is>
      </c>
      <c r="B107" s="6" t="inlineStr">
        <is>
          <t>URB-STR</t>
        </is>
      </c>
      <c r="C107" s="6" t="inlineStr">
        <is>
          <t>Hazard</t>
        </is>
      </c>
      <c r="D107" s="6" t="inlineStr">
        <is>
          <t>H5 Loss of stability / control</t>
        </is>
      </c>
      <c r="E107" s="6" t="n">
        <v>12</v>
      </c>
      <c r="F107" s="6" t="n"/>
      <c r="G107" s="6" t="inlineStr">
        <is>
          <t>Excessive Acceleration, Excessive Deceleration, Excessive Steering, Insufficient Acceleration, Insufficient Deceleration, Insufficient Steering, No Deceleration, No Steering</t>
        </is>
      </c>
      <c r="H107" s="6" t="inlineStr"/>
      <c r="I107" s="6">
        <f>IF(H107="",0,LEN(H107)-LEN(SUBSTITUTE(H107,",",""))+1)</f>
        <v/>
      </c>
      <c r="J107" s="6">
        <f>IF(I107&gt;0,"couvert","trou")</f>
        <v/>
      </c>
      <c r="K107" s="6" t="inlineStr">
        <is>
          <t>catalogue urbain / hub à compléter (jalon 2)</t>
        </is>
      </c>
    </row>
    <row r="108">
      <c r="A108" s="6" t="inlineStr">
        <is>
          <t>Urban</t>
        </is>
      </c>
      <c r="B108" s="6" t="inlineStr">
        <is>
          <t>URB-TRN</t>
        </is>
      </c>
      <c r="C108" s="6" t="inlineStr">
        <is>
          <t>Hazard</t>
        </is>
      </c>
      <c r="D108" s="6" t="inlineStr">
        <is>
          <t>H1 Side collision</t>
        </is>
      </c>
      <c r="E108" s="6" t="n">
        <v>31</v>
      </c>
      <c r="F108" s="6" t="n"/>
      <c r="G108" s="6" t="inlineStr">
        <is>
          <t>Excessive Steering, Insufficient Steering, No Deceleration, No Steering, No Turn Signal, Steering for too long / stuck, Steering in opposite direction, Turn Signal in opposite direction</t>
        </is>
      </c>
      <c r="H108" s="6" t="inlineStr">
        <is>
          <t>URB-02, URB-03, URB-04, URB-06, URB-14</t>
        </is>
      </c>
      <c r="I108" s="6">
        <f>IF(H108="",0,LEN(H108)-LEN(SUBSTITUTE(H108,",",""))+1)</f>
        <v/>
      </c>
      <c r="J108" s="6">
        <f>IF(I108&gt;0,"couvert","trou")</f>
        <v/>
      </c>
      <c r="K108" s="6" t="inlineStr"/>
    </row>
    <row r="109">
      <c r="A109" s="6" t="inlineStr">
        <is>
          <t>Urban</t>
        </is>
      </c>
      <c r="B109" s="6" t="inlineStr">
        <is>
          <t>URB-TRN</t>
        </is>
      </c>
      <c r="C109" s="6" t="inlineStr">
        <is>
          <t>Hazard</t>
        </is>
      </c>
      <c r="D109" s="6" t="inlineStr">
        <is>
          <t>H2 Front collision</t>
        </is>
      </c>
      <c r="E109" s="6" t="n">
        <v>12</v>
      </c>
      <c r="F109" s="6" t="n"/>
      <c r="G109" s="6" t="inlineStr">
        <is>
          <t>Excessive Acceleration, Insufficient Deceleration, No Deceleration, No Steering, Unintended Acceleration</t>
        </is>
      </c>
      <c r="H109" s="6" t="inlineStr">
        <is>
          <t>URB-05</t>
        </is>
      </c>
      <c r="I109" s="6">
        <f>IF(H109="",0,LEN(H109)-LEN(SUBSTITUTE(H109,",",""))+1)</f>
        <v/>
      </c>
      <c r="J109" s="6">
        <f>IF(I109&gt;0,"couvert","trou")</f>
        <v/>
      </c>
      <c r="K109" s="6" t="inlineStr"/>
    </row>
    <row r="110">
      <c r="A110" s="6" t="inlineStr">
        <is>
          <t>Urban</t>
        </is>
      </c>
      <c r="B110" s="6" t="inlineStr">
        <is>
          <t>URB-TRN</t>
        </is>
      </c>
      <c r="C110" s="6" t="inlineStr">
        <is>
          <t>Hazard</t>
        </is>
      </c>
      <c r="D110" s="6" t="inlineStr">
        <is>
          <t>H3 Rear-end by follower</t>
        </is>
      </c>
      <c r="E110" s="6" t="n">
        <v>13</v>
      </c>
      <c r="F110" s="6" t="n"/>
      <c r="G110" s="6" t="inlineStr">
        <is>
          <t>Excessive Deceleration, Insufficient Acceleration, Insufficient Steering, No Acceleration, Unintended Deceleration</t>
        </is>
      </c>
      <c r="H110" s="6" t="inlineStr"/>
      <c r="I110" s="6">
        <f>IF(H110="",0,LEN(H110)-LEN(SUBSTITUTE(H110,",",""))+1)</f>
        <v/>
      </c>
      <c r="J110" s="6">
        <f>IF(I110&gt;0,"couvert","trou")</f>
        <v/>
      </c>
      <c r="K110" s="6" t="inlineStr">
        <is>
          <t>catalogue urbain / hub à compléter (jalon 2)</t>
        </is>
      </c>
    </row>
    <row r="111">
      <c r="A111" s="6" t="inlineStr">
        <is>
          <t>Urban</t>
        </is>
      </c>
      <c r="B111" s="6" t="inlineStr">
        <is>
          <t>URB-TRN</t>
        </is>
      </c>
      <c r="C111" s="6" t="inlineStr">
        <is>
          <t>Hazard</t>
        </is>
      </c>
      <c r="D111" s="6" t="inlineStr">
        <is>
          <t>H4 Intent not communicated</t>
        </is>
      </c>
      <c r="E111" s="6" t="n">
        <v>3</v>
      </c>
      <c r="F111" s="6" t="n"/>
      <c r="G111" s="6" t="inlineStr">
        <is>
          <t>Steering too late, Unintended Turn Signal</t>
        </is>
      </c>
      <c r="H111" s="6" t="inlineStr"/>
      <c r="I111" s="6">
        <f>IF(H111="",0,LEN(H111)-LEN(SUBSTITUTE(H111,",",""))+1)</f>
        <v/>
      </c>
      <c r="J111" s="6">
        <f>IF(I111&gt;0,"couvert","trou")</f>
        <v/>
      </c>
      <c r="K111" s="6" t="inlineStr">
        <is>
          <t>catalogue urbain / hub à compléter (jalon 2)</t>
        </is>
      </c>
    </row>
    <row r="112">
      <c r="A112" s="6" t="inlineStr">
        <is>
          <t>Urban</t>
        </is>
      </c>
      <c r="B112" s="6" t="inlineStr">
        <is>
          <t>URB-TRN</t>
        </is>
      </c>
      <c r="C112" s="6" t="inlineStr">
        <is>
          <t>Hazard</t>
        </is>
      </c>
      <c r="D112" s="6" t="inlineStr">
        <is>
          <t>H5 Loss of stability / control</t>
        </is>
      </c>
      <c r="E112" s="6" t="n">
        <v>12</v>
      </c>
      <c r="F112" s="6" t="n"/>
      <c r="G112" s="6" t="inlineStr">
        <is>
          <t>Excessive Acceleration, Excessive Deceleration, Excessive Steering, Insufficient Acceleration, Insufficient Deceleration, Insufficient Steering, No Deceleration, No Steering</t>
        </is>
      </c>
      <c r="H112" s="6" t="inlineStr"/>
      <c r="I112" s="6">
        <f>IF(H112="",0,LEN(H112)-LEN(SUBSTITUTE(H112,",",""))+1)</f>
        <v/>
      </c>
      <c r="J112" s="6">
        <f>IF(I112&gt;0,"couvert","trou")</f>
        <v/>
      </c>
      <c r="K112" s="6" t="inlineStr">
        <is>
          <t>catalogue urbain / hub à compléter (jalon 2)</t>
        </is>
      </c>
    </row>
    <row r="113">
      <c r="A113" s="6" t="inlineStr">
        <is>
          <t>Urban</t>
        </is>
      </c>
      <c r="B113" s="6" t="inlineStr">
        <is>
          <t>URB-XWK</t>
        </is>
      </c>
      <c r="C113" s="6" t="inlineStr">
        <is>
          <t>Hazard</t>
        </is>
      </c>
      <c r="D113" s="6" t="inlineStr">
        <is>
          <t>H1 Side collision</t>
        </is>
      </c>
      <c r="E113" s="6" t="n">
        <v>10</v>
      </c>
      <c r="F113" s="6" t="n"/>
      <c r="G113" s="6" t="inlineStr">
        <is>
          <t>Excessive Steering, Insufficient Steering, No Deceleration, No Steering, Steering for too long / stuck, Steering in opposite direction, Unintended Steering</t>
        </is>
      </c>
      <c r="H113" s="6" t="inlineStr"/>
      <c r="I113" s="6">
        <f>IF(H113="",0,LEN(H113)-LEN(SUBSTITUTE(H113,",",""))+1)</f>
        <v/>
      </c>
      <c r="J113" s="6">
        <f>IF(I113&gt;0,"couvert","trou")</f>
        <v/>
      </c>
      <c r="K113" s="6" t="inlineStr">
        <is>
          <t>catalogue urbain / hub à compléter (jalon 2)</t>
        </is>
      </c>
    </row>
    <row r="114">
      <c r="A114" s="6" t="inlineStr">
        <is>
          <t>Urban</t>
        </is>
      </c>
      <c r="B114" s="6" t="inlineStr">
        <is>
          <t>URB-XWK</t>
        </is>
      </c>
      <c r="C114" s="6" t="inlineStr">
        <is>
          <t>Hazard</t>
        </is>
      </c>
      <c r="D114" s="6" t="inlineStr">
        <is>
          <t>H2 Front collision</t>
        </is>
      </c>
      <c r="E114" s="6" t="n">
        <v>8</v>
      </c>
      <c r="F114" s="6" t="n"/>
      <c r="G114" s="6" t="inlineStr">
        <is>
          <t>Excessive Acceleration, Insufficient Deceleration, No Deceleration, No Steering, Unintended Acceleration</t>
        </is>
      </c>
      <c r="H114" s="6" t="inlineStr">
        <is>
          <t>URB-05, URB-08, URB-09</t>
        </is>
      </c>
      <c r="I114" s="6">
        <f>IF(H114="",0,LEN(H114)-LEN(SUBSTITUTE(H114,",",""))+1)</f>
        <v/>
      </c>
      <c r="J114" s="6">
        <f>IF(I114&gt;0,"couvert","trou")</f>
        <v/>
      </c>
      <c r="K114" s="6" t="inlineStr"/>
    </row>
    <row r="115">
      <c r="A115" s="6" t="inlineStr">
        <is>
          <t>Urban</t>
        </is>
      </c>
      <c r="B115" s="6" t="inlineStr">
        <is>
          <t>URB-XWK</t>
        </is>
      </c>
      <c r="C115" s="6" t="inlineStr">
        <is>
          <t>Hazard</t>
        </is>
      </c>
      <c r="D115" s="6" t="inlineStr">
        <is>
          <t>H3 Rear-end by follower</t>
        </is>
      </c>
      <c r="E115" s="6" t="n">
        <v>11</v>
      </c>
      <c r="F115" s="6" t="n"/>
      <c r="G115" s="6" t="inlineStr">
        <is>
          <t>Brake Lights too late, Excessive Deceleration, Insufficient Acceleration, Insufficient Steering, No Acceleration, No Brake Lights, Unintended Deceleration</t>
        </is>
      </c>
      <c r="H115" s="6" t="inlineStr"/>
      <c r="I115" s="6">
        <f>IF(H115="",0,LEN(H115)-LEN(SUBSTITUTE(H115,",",""))+1)</f>
        <v/>
      </c>
      <c r="J115" s="6">
        <f>IF(I115&gt;0,"couvert","trou")</f>
        <v/>
      </c>
      <c r="K115" s="6" t="inlineStr">
        <is>
          <t>catalogue urbain / hub à compléter (jalon 2)</t>
        </is>
      </c>
    </row>
    <row r="116">
      <c r="A116" s="6" t="inlineStr">
        <is>
          <t>Urban</t>
        </is>
      </c>
      <c r="B116" s="6" t="inlineStr">
        <is>
          <t>URB-XWK</t>
        </is>
      </c>
      <c r="C116" s="6" t="inlineStr">
        <is>
          <t>Hazard</t>
        </is>
      </c>
      <c r="D116" s="6" t="inlineStr">
        <is>
          <t>H4 Intent not communicated</t>
        </is>
      </c>
      <c r="E116" s="6" t="n">
        <v>7</v>
      </c>
      <c r="F116" s="6" t="n"/>
      <c r="G116" s="6" t="inlineStr">
        <is>
          <t>Brake Lights for too long / stuck, Horn too late, No Horn, Steering too late, Unintended Brake Lights, Unintended Horn, Unintended Turn Signal</t>
        </is>
      </c>
      <c r="H116" s="6" t="inlineStr"/>
      <c r="I116" s="6">
        <f>IF(H116="",0,LEN(H116)-LEN(SUBSTITUTE(H116,",",""))+1)</f>
        <v/>
      </c>
      <c r="J116" s="6">
        <f>IF(I116&gt;0,"couvert","trou")</f>
        <v/>
      </c>
      <c r="K116" s="6" t="inlineStr">
        <is>
          <t>catalogue urbain / hub à compléter (jalon 2)</t>
        </is>
      </c>
    </row>
    <row r="117">
      <c r="A117" s="6" t="inlineStr">
        <is>
          <t>Urban</t>
        </is>
      </c>
      <c r="B117" s="6" t="inlineStr">
        <is>
          <t>URB-XWK</t>
        </is>
      </c>
      <c r="C117" s="6" t="inlineStr">
        <is>
          <t>Hazard</t>
        </is>
      </c>
      <c r="D117" s="6" t="inlineStr">
        <is>
          <t>H5 Loss of stability / control</t>
        </is>
      </c>
      <c r="E117" s="6" t="n">
        <v>12</v>
      </c>
      <c r="F117" s="6" t="n"/>
      <c r="G117" s="6" t="inlineStr">
        <is>
          <t>Excessive Acceleration, Excessive Deceleration, Excessive Steering, Insufficient Acceleration, Insufficient Deceleration, Insufficient Steering, No Deceleration, No Steering</t>
        </is>
      </c>
      <c r="H117" s="6" t="inlineStr"/>
      <c r="I117" s="6">
        <f>IF(H117="",0,LEN(H117)-LEN(SUBSTITUTE(H117,",",""))+1)</f>
        <v/>
      </c>
      <c r="J117" s="6">
        <f>IF(I117&gt;0,"couvert","trou")</f>
        <v/>
      </c>
      <c r="K117" s="6" t="inlineStr">
        <is>
          <t>catalogue urbain / hub à compléter (jalon 2)</t>
        </is>
      </c>
    </row>
    <row r="118">
      <c r="A118" s="6" t="inlineStr">
        <is>
          <t>Hub</t>
        </is>
      </c>
      <c r="B118" s="6" t="inlineStr">
        <is>
          <t>HUB-AVD</t>
        </is>
      </c>
      <c r="C118" s="6" t="inlineStr">
        <is>
          <t>Hazard</t>
        </is>
      </c>
      <c r="D118" s="6" t="inlineStr">
        <is>
          <t>H1 Side collision</t>
        </is>
      </c>
      <c r="E118" s="6" t="n">
        <v>15</v>
      </c>
      <c r="F118" s="6" t="n"/>
      <c r="G118" s="6" t="inlineStr">
        <is>
          <t>Excessive Steering, Insufficient Steering, No Steering, Steering for too long / stuck, Steering in opposite direction, Unintended Steering</t>
        </is>
      </c>
      <c r="H118" s="6" t="inlineStr">
        <is>
          <t>HUB-01, HUB-06</t>
        </is>
      </c>
      <c r="I118" s="6">
        <f>IF(H118="",0,LEN(H118)-LEN(SUBSTITUTE(H118,",",""))+1)</f>
        <v/>
      </c>
      <c r="J118" s="6">
        <f>IF(I118&gt;0,"couvert","trou")</f>
        <v/>
      </c>
      <c r="K118" s="6" t="inlineStr"/>
    </row>
    <row r="119">
      <c r="A119" s="6" t="inlineStr">
        <is>
          <t>Hub</t>
        </is>
      </c>
      <c r="B119" s="6" t="inlineStr">
        <is>
          <t>HUB-AVD</t>
        </is>
      </c>
      <c r="C119" s="6" t="inlineStr">
        <is>
          <t>Hazard</t>
        </is>
      </c>
      <c r="D119" s="6" t="inlineStr">
        <is>
          <t>H2 Front collision</t>
        </is>
      </c>
      <c r="E119" s="6" t="n">
        <v>10</v>
      </c>
      <c r="F119" s="6" t="n"/>
      <c r="G119" s="6" t="inlineStr">
        <is>
          <t>Deceleration too late, Excessive Acceleration, Insufficient Deceleration, No Deceleration, No Steering, Unintended Acceleration</t>
        </is>
      </c>
      <c r="H119" s="6" t="inlineStr">
        <is>
          <t>HUB-01, HUB-02, HUB-07</t>
        </is>
      </c>
      <c r="I119" s="6">
        <f>IF(H119="",0,LEN(H119)-LEN(SUBSTITUTE(H119,",",""))+1)</f>
        <v/>
      </c>
      <c r="J119" s="6">
        <f>IF(I119&gt;0,"couvert","trou")</f>
        <v/>
      </c>
      <c r="K119" s="6" t="inlineStr"/>
    </row>
    <row r="120">
      <c r="A120" s="6" t="inlineStr">
        <is>
          <t>Hub</t>
        </is>
      </c>
      <c r="B120" s="6" t="inlineStr">
        <is>
          <t>HUB-AVD</t>
        </is>
      </c>
      <c r="C120" s="6" t="inlineStr">
        <is>
          <t>Hazard</t>
        </is>
      </c>
      <c r="D120" s="6" t="inlineStr">
        <is>
          <t>H3 Rear-end by follower</t>
        </is>
      </c>
      <c r="E120" s="6" t="n">
        <v>8</v>
      </c>
      <c r="F120" s="6" t="n"/>
      <c r="G120" s="6" t="inlineStr">
        <is>
          <t>Excessive Deceleration, Insufficient Acceleration, Insufficient Steering, No Acceleration, Unintended Deceleration</t>
        </is>
      </c>
      <c r="H120" s="6" t="inlineStr"/>
      <c r="I120" s="6">
        <f>IF(H120="",0,LEN(H120)-LEN(SUBSTITUTE(H120,",",""))+1)</f>
        <v/>
      </c>
      <c r="J120" s="6">
        <f>IF(I120&gt;0,"couvert","trou")</f>
        <v/>
      </c>
      <c r="K120" s="6" t="inlineStr">
        <is>
          <t>catalogue urbain / hub à compléter (jalon 2)</t>
        </is>
      </c>
    </row>
    <row r="121">
      <c r="A121" s="6" t="inlineStr">
        <is>
          <t>Hub</t>
        </is>
      </c>
      <c r="B121" s="6" t="inlineStr">
        <is>
          <t>HUB-AVD</t>
        </is>
      </c>
      <c r="C121" s="6" t="inlineStr">
        <is>
          <t>Hazard</t>
        </is>
      </c>
      <c r="D121" s="6" t="inlineStr">
        <is>
          <t>H4 Intent not communicated</t>
        </is>
      </c>
      <c r="E121" s="6" t="n">
        <v>4</v>
      </c>
      <c r="F121" s="6" t="n"/>
      <c r="G121" s="6" t="inlineStr">
        <is>
          <t>Horn too late, No Horn, Steering too late, Unintended Horn</t>
        </is>
      </c>
      <c r="H121" s="6" t="inlineStr"/>
      <c r="I121" s="6">
        <f>IF(H121="",0,LEN(H121)-LEN(SUBSTITUTE(H121,",",""))+1)</f>
        <v/>
      </c>
      <c r="J121" s="6">
        <f>IF(I121&gt;0,"couvert","trou")</f>
        <v/>
      </c>
      <c r="K121" s="6" t="inlineStr">
        <is>
          <t>catalogue urbain / hub à compléter (jalon 2)</t>
        </is>
      </c>
    </row>
    <row r="122">
      <c r="A122" s="6" t="inlineStr">
        <is>
          <t>Hub</t>
        </is>
      </c>
      <c r="B122" s="6" t="inlineStr">
        <is>
          <t>HUB-AVD</t>
        </is>
      </c>
      <c r="C122" s="6" t="inlineStr">
        <is>
          <t>Hazard</t>
        </is>
      </c>
      <c r="D122" s="6" t="inlineStr">
        <is>
          <t>H5 Loss of stability / control</t>
        </is>
      </c>
      <c r="E122" s="6" t="n">
        <v>12</v>
      </c>
      <c r="F122" s="6" t="n"/>
      <c r="G122" s="6" t="inlineStr">
        <is>
          <t>Excessive Acceleration, Excessive Deceleration, Excessive Steering, Insufficient Acceleration, Insufficient Deceleration, Insufficient Steering, No Deceleration, No Steering</t>
        </is>
      </c>
      <c r="H122" s="6" t="inlineStr"/>
      <c r="I122" s="6">
        <f>IF(H122="",0,LEN(H122)-LEN(SUBSTITUTE(H122,",",""))+1)</f>
        <v/>
      </c>
      <c r="J122" s="6">
        <f>IF(I122&gt;0,"couvert","trou")</f>
        <v/>
      </c>
      <c r="K122" s="6" t="inlineStr">
        <is>
          <t>catalogue urbain / hub à compléter (jalon 2)</t>
        </is>
      </c>
    </row>
    <row r="123">
      <c r="A123" s="6" t="inlineStr">
        <is>
          <t>Hub</t>
        </is>
      </c>
      <c r="B123" s="6" t="inlineStr">
        <is>
          <t>HUB-AVD</t>
        </is>
      </c>
      <c r="C123" s="6" t="inlineStr">
        <is>
          <t>Condition ODD</t>
        </is>
      </c>
      <c r="D123" s="6" t="inlineStr">
        <is>
          <t>VRU present</t>
        </is>
      </c>
      <c r="E123" s="6" t="n">
        <v>2</v>
      </c>
      <c r="F123" s="6" t="n"/>
      <c r="G123" s="6" t="inlineStr">
        <is>
          <t>Deceleration too late, No Deceleration</t>
        </is>
      </c>
      <c r="H123" s="6" t="inlineStr"/>
      <c r="I123" s="6">
        <f>IF(H123="",0,LEN(H123)-LEN(SUBSTITUTE(H123,",",""))+1)</f>
        <v/>
      </c>
      <c r="J123" s="6">
        <f>IF(I123&gt;0,"couvert","trou")</f>
        <v/>
      </c>
      <c r="K123" s="6" t="inlineStr">
        <is>
          <t>catalogue urbain / hub à compléter (jalon 2)</t>
        </is>
      </c>
    </row>
    <row r="124">
      <c r="A124" s="6" t="inlineStr">
        <is>
          <t>Hub</t>
        </is>
      </c>
      <c r="B124" s="6" t="inlineStr">
        <is>
          <t>HUB-DCK</t>
        </is>
      </c>
      <c r="C124" s="6" t="inlineStr">
        <is>
          <t>Hazard</t>
        </is>
      </c>
      <c r="D124" s="6" t="inlineStr">
        <is>
          <t>H1 Side collision</t>
        </is>
      </c>
      <c r="E124" s="6" t="n">
        <v>15</v>
      </c>
      <c r="F124" s="6" t="n"/>
      <c r="G124" s="6" t="inlineStr">
        <is>
          <t>Excessive Steering, Insufficient Steering, No Steering, Steering for too long / stuck, Steering in opposite direction, Unintended Steering</t>
        </is>
      </c>
      <c r="H124" s="6" t="inlineStr"/>
      <c r="I124" s="6">
        <f>IF(H124="",0,LEN(H124)-LEN(SUBSTITUTE(H124,",",""))+1)</f>
        <v/>
      </c>
      <c r="J124" s="6">
        <f>IF(I124&gt;0,"couvert","trou")</f>
        <v/>
      </c>
      <c r="K124" s="6" t="inlineStr">
        <is>
          <t>catalogue urbain / hub à compléter (jalon 2)</t>
        </is>
      </c>
    </row>
    <row r="125">
      <c r="A125" s="6" t="inlineStr">
        <is>
          <t>Hub</t>
        </is>
      </c>
      <c r="B125" s="6" t="inlineStr">
        <is>
          <t>HUB-DCK</t>
        </is>
      </c>
      <c r="C125" s="6" t="inlineStr">
        <is>
          <t>Hazard</t>
        </is>
      </c>
      <c r="D125" s="6" t="inlineStr">
        <is>
          <t>H2 Front collision</t>
        </is>
      </c>
      <c r="E125" s="6" t="n">
        <v>8</v>
      </c>
      <c r="F125" s="6" t="n"/>
      <c r="G125" s="6" t="inlineStr">
        <is>
          <t>Excessive Acceleration, Insufficient Deceleration, No Deceleration, No Steering, Unintended Acceleration</t>
        </is>
      </c>
      <c r="H125" s="6" t="inlineStr"/>
      <c r="I125" s="6">
        <f>IF(H125="",0,LEN(H125)-LEN(SUBSTITUTE(H125,",",""))+1)</f>
        <v/>
      </c>
      <c r="J125" s="6">
        <f>IF(I125&gt;0,"couvert","trou")</f>
        <v/>
      </c>
      <c r="K125" s="6" t="inlineStr">
        <is>
          <t>catalogue urbain / hub à compléter (jalon 2)</t>
        </is>
      </c>
    </row>
    <row r="126">
      <c r="A126" s="6" t="inlineStr">
        <is>
          <t>Hub</t>
        </is>
      </c>
      <c r="B126" s="6" t="inlineStr">
        <is>
          <t>HUB-DCK</t>
        </is>
      </c>
      <c r="C126" s="6" t="inlineStr">
        <is>
          <t>Hazard</t>
        </is>
      </c>
      <c r="D126" s="6" t="inlineStr">
        <is>
          <t>H3 Rear-end by follower</t>
        </is>
      </c>
      <c r="E126" s="6" t="n">
        <v>11</v>
      </c>
      <c r="F126" s="6" t="n"/>
      <c r="G126" s="6" t="inlineStr">
        <is>
          <t>Acceleration from Standstill in opposite direction, Excessive Deceleration, Hazard Lights too late, Insufficient Acceleration, Insufficient Steering, No Acceleration, Unintended Deceleration, Unintended Park Brake</t>
        </is>
      </c>
      <c r="H126" s="6" t="inlineStr">
        <is>
          <t>HUB-03</t>
        </is>
      </c>
      <c r="I126" s="6">
        <f>IF(H126="",0,LEN(H126)-LEN(SUBSTITUTE(H126,",",""))+1)</f>
        <v/>
      </c>
      <c r="J126" s="6">
        <f>IF(I126&gt;0,"couvert","trou")</f>
        <v/>
      </c>
      <c r="K126" s="6" t="inlineStr"/>
    </row>
    <row r="127">
      <c r="A127" s="6" t="inlineStr">
        <is>
          <t>Hub</t>
        </is>
      </c>
      <c r="B127" s="6" t="inlineStr">
        <is>
          <t>HUB-DCK</t>
        </is>
      </c>
      <c r="C127" s="6" t="inlineStr">
        <is>
          <t>Hazard</t>
        </is>
      </c>
      <c r="D127" s="6" t="inlineStr">
        <is>
          <t>H4 Intent not communicated</t>
        </is>
      </c>
      <c r="E127" s="6" t="n">
        <v>3</v>
      </c>
      <c r="F127" s="6" t="n"/>
      <c r="G127" s="6" t="inlineStr">
        <is>
          <t>No Hazard Lights, Steering too late, Unintended Hazard Lights</t>
        </is>
      </c>
      <c r="H127" s="6" t="inlineStr"/>
      <c r="I127" s="6">
        <f>IF(H127="",0,LEN(H127)-LEN(SUBSTITUTE(H127,",",""))+1)</f>
        <v/>
      </c>
      <c r="J127" s="6">
        <f>IF(I127&gt;0,"couvert","trou")</f>
        <v/>
      </c>
      <c r="K127" s="6" t="inlineStr">
        <is>
          <t>catalogue urbain / hub à compléter (jalon 2)</t>
        </is>
      </c>
    </row>
    <row r="128">
      <c r="A128" s="6" t="inlineStr">
        <is>
          <t>Hub</t>
        </is>
      </c>
      <c r="B128" s="6" t="inlineStr">
        <is>
          <t>HUB-DCK</t>
        </is>
      </c>
      <c r="C128" s="6" t="inlineStr">
        <is>
          <t>Hazard</t>
        </is>
      </c>
      <c r="D128" s="6" t="inlineStr">
        <is>
          <t>H5 Loss of stability / control</t>
        </is>
      </c>
      <c r="E128" s="6" t="n">
        <v>18</v>
      </c>
      <c r="F128" s="6" t="n"/>
      <c r="G128" s="6" t="inlineStr">
        <is>
          <t>Acceleration from Standstill for too long / stuck, Excessive Acceleration, Excessive Acceleration from Standstill, Excessive Deceleration, Excessive Steering, Insufficient Acceleration, Insufficient Deceleration, Insufficient Park Brake</t>
        </is>
      </c>
      <c r="H128" s="6" t="inlineStr">
        <is>
          <t>HUB-04</t>
        </is>
      </c>
      <c r="I128" s="6">
        <f>IF(H128="",0,LEN(H128)-LEN(SUBSTITUTE(H128,",",""))+1)</f>
        <v/>
      </c>
      <c r="J128" s="6">
        <f>IF(I128&gt;0,"couvert","trou")</f>
        <v/>
      </c>
      <c r="K128" s="6" t="inlineStr"/>
    </row>
    <row r="129">
      <c r="A129" s="6" t="inlineStr">
        <is>
          <t>Hub</t>
        </is>
      </c>
      <c r="B129" s="6" t="inlineStr">
        <is>
          <t>HUB-DCK</t>
        </is>
      </c>
      <c r="C129" s="6" t="inlineStr">
        <is>
          <t>Hazard</t>
        </is>
      </c>
      <c r="D129" s="6" t="inlineStr">
        <is>
          <t>H6 Access / operational</t>
        </is>
      </c>
      <c r="E129" s="6" t="n">
        <v>1</v>
      </c>
      <c r="F129" s="6" t="n"/>
      <c r="G129" s="6" t="inlineStr">
        <is>
          <t>Park Brake for too long / stuck</t>
        </is>
      </c>
      <c r="H129" s="6" t="inlineStr"/>
      <c r="I129" s="6">
        <f>IF(H129="",0,LEN(H129)-LEN(SUBSTITUTE(H129,",",""))+1)</f>
        <v/>
      </c>
      <c r="J129" s="6">
        <f>IF(I129&gt;0,"couvert","trou")</f>
        <v/>
      </c>
      <c r="K129" s="6" t="inlineStr">
        <is>
          <t>catalogue urbain / hub à compléter (jalon 2)</t>
        </is>
      </c>
    </row>
    <row r="130">
      <c r="A130" s="6" t="inlineStr">
        <is>
          <t>Hub</t>
        </is>
      </c>
      <c r="B130" s="6" t="inlineStr">
        <is>
          <t>HUB-EST</t>
        </is>
      </c>
      <c r="C130" s="6" t="inlineStr">
        <is>
          <t>Hazard</t>
        </is>
      </c>
      <c r="D130" s="6" t="inlineStr">
        <is>
          <t>H1 Side collision</t>
        </is>
      </c>
      <c r="E130" s="6" t="n">
        <v>6</v>
      </c>
      <c r="F130" s="6" t="n">
        <v>6</v>
      </c>
      <c r="G130" s="6" t="inlineStr">
        <is>
          <t>Excessive Steering, Insufficient Steering, No Steering, Steering for too long / stuck, Steering in opposite direction, Unintended Steering</t>
        </is>
      </c>
      <c r="H130" s="6" t="inlineStr"/>
      <c r="I130" s="6">
        <f>IF(H130="",0,LEN(H130)-LEN(SUBSTITUTE(H130,",",""))+1)</f>
        <v/>
      </c>
      <c r="J130" s="6">
        <f>IF(I130&gt;0,"couvert","trou")</f>
        <v/>
      </c>
      <c r="K130" s="6" t="inlineStr">
        <is>
          <t>catalogue urbain / hub à compléter (jalon 2)</t>
        </is>
      </c>
    </row>
    <row r="131">
      <c r="A131" s="6" t="inlineStr">
        <is>
          <t>Hub</t>
        </is>
      </c>
      <c r="B131" s="6" t="inlineStr">
        <is>
          <t>HUB-EST</t>
        </is>
      </c>
      <c r="C131" s="6" t="inlineStr">
        <is>
          <t>Hazard</t>
        </is>
      </c>
      <c r="D131" s="6" t="inlineStr">
        <is>
          <t>H2 Front collision</t>
        </is>
      </c>
      <c r="E131" s="6" t="n">
        <v>3</v>
      </c>
      <c r="F131" s="6" t="n">
        <v>3</v>
      </c>
      <c r="G131" s="6" t="inlineStr">
        <is>
          <t>Excessive Acceleration, No Deceleration, Unintended Acceleration</t>
        </is>
      </c>
      <c r="H131" s="6" t="inlineStr">
        <is>
          <t>HUB-02, HUB-07</t>
        </is>
      </c>
      <c r="I131" s="6">
        <f>IF(H131="",0,LEN(H131)-LEN(SUBSTITUTE(H131,",",""))+1)</f>
        <v/>
      </c>
      <c r="J131" s="6">
        <f>IF(I131&gt;0,"couvert","trou")</f>
        <v/>
      </c>
      <c r="K131" s="6" t="inlineStr"/>
    </row>
    <row r="132">
      <c r="A132" s="6" t="inlineStr">
        <is>
          <t>Hub</t>
        </is>
      </c>
      <c r="B132" s="6" t="inlineStr">
        <is>
          <t>HUB-EST</t>
        </is>
      </c>
      <c r="C132" s="6" t="inlineStr">
        <is>
          <t>Hazard</t>
        </is>
      </c>
      <c r="D132" s="6" t="inlineStr">
        <is>
          <t>H3 Rear-end by follower</t>
        </is>
      </c>
      <c r="E132" s="6" t="n">
        <v>5</v>
      </c>
      <c r="F132" s="6" t="n">
        <v>5</v>
      </c>
      <c r="G132" s="6" t="inlineStr">
        <is>
          <t>Excessive Deceleration, Hazard Lights too late, No Acceleration, Unintended Deceleration</t>
        </is>
      </c>
      <c r="H132" s="6" t="inlineStr"/>
      <c r="I132" s="6">
        <f>IF(H132="",0,LEN(H132)-LEN(SUBSTITUTE(H132,",",""))+1)</f>
        <v/>
      </c>
      <c r="J132" s="6">
        <f>IF(I132&gt;0,"couvert","trou")</f>
        <v/>
      </c>
      <c r="K132" s="6" t="inlineStr">
        <is>
          <t>catalogue urbain / hub à compléter (jalon 2)</t>
        </is>
      </c>
    </row>
    <row r="133">
      <c r="A133" s="6" t="inlineStr">
        <is>
          <t>Hub</t>
        </is>
      </c>
      <c r="B133" s="6" t="inlineStr">
        <is>
          <t>HUB-EST</t>
        </is>
      </c>
      <c r="C133" s="6" t="inlineStr">
        <is>
          <t>Hazard</t>
        </is>
      </c>
      <c r="D133" s="6" t="inlineStr">
        <is>
          <t>H4 Intent not communicated</t>
        </is>
      </c>
      <c r="E133" s="6" t="n">
        <v>4</v>
      </c>
      <c r="F133" s="6" t="n">
        <v>4</v>
      </c>
      <c r="G133" s="6" t="inlineStr">
        <is>
          <t>No Hazard Lights, Unintended Hazard Lights</t>
        </is>
      </c>
      <c r="H133" s="6" t="inlineStr"/>
      <c r="I133" s="6">
        <f>IF(H133="",0,LEN(H133)-LEN(SUBSTITUTE(H133,",",""))+1)</f>
        <v/>
      </c>
      <c r="J133" s="6">
        <f>IF(I133&gt;0,"couvert","trou")</f>
        <v/>
      </c>
      <c r="K133" s="6" t="inlineStr">
        <is>
          <t>catalogue urbain / hub à compléter (jalon 2)</t>
        </is>
      </c>
    </row>
    <row r="134">
      <c r="A134" s="6" t="inlineStr">
        <is>
          <t>Hub</t>
        </is>
      </c>
      <c r="B134" s="6" t="inlineStr">
        <is>
          <t>HUB-EST</t>
        </is>
      </c>
      <c r="C134" s="6" t="inlineStr">
        <is>
          <t>Hazard</t>
        </is>
      </c>
      <c r="D134" s="6" t="inlineStr">
        <is>
          <t>H5 Loss of stability / control</t>
        </is>
      </c>
      <c r="E134" s="6" t="n">
        <v>4</v>
      </c>
      <c r="F134" s="6" t="n">
        <v>4</v>
      </c>
      <c r="G134" s="6" t="inlineStr">
        <is>
          <t>Excessive Deceleration, Insufficient Deceleration, No Deceleration, Unintended Deceleration</t>
        </is>
      </c>
      <c r="H134" s="6" t="inlineStr"/>
      <c r="I134" s="6">
        <f>IF(H134="",0,LEN(H134)-LEN(SUBSTITUTE(H134,",",""))+1)</f>
        <v/>
      </c>
      <c r="J134" s="6">
        <f>IF(I134&gt;0,"couvert","trou")</f>
        <v/>
      </c>
      <c r="K134" s="6" t="inlineStr">
        <is>
          <t>catalogue urbain / hub à compléter (jalon 2)</t>
        </is>
      </c>
    </row>
    <row r="135">
      <c r="A135" s="6" t="inlineStr">
        <is>
          <t>Hub</t>
        </is>
      </c>
      <c r="B135" s="6" t="inlineStr">
        <is>
          <t>HUB-LSD</t>
        </is>
      </c>
      <c r="C135" s="6" t="inlineStr">
        <is>
          <t>Hazard</t>
        </is>
      </c>
      <c r="D135" s="6" t="inlineStr">
        <is>
          <t>H1 Side collision</t>
        </is>
      </c>
      <c r="E135" s="6" t="n">
        <v>9</v>
      </c>
      <c r="F135" s="6" t="n"/>
      <c r="G135" s="6" t="inlineStr">
        <is>
          <t>Excessive Steering, Insufficient Steering, No Steering, Steering for too long / stuck, Steering in opposite direction, Unintended Steering</t>
        </is>
      </c>
      <c r="H135" s="6" t="inlineStr">
        <is>
          <t>HUB-01, HUB-06, HUB-09</t>
        </is>
      </c>
      <c r="I135" s="6">
        <f>IF(H135="",0,LEN(H135)-LEN(SUBSTITUTE(H135,",",""))+1)</f>
        <v/>
      </c>
      <c r="J135" s="6">
        <f>IF(I135&gt;0,"couvert","trou")</f>
        <v/>
      </c>
      <c r="K135" s="6" t="inlineStr"/>
    </row>
    <row r="136">
      <c r="A136" s="6" t="inlineStr">
        <is>
          <t>Hub</t>
        </is>
      </c>
      <c r="B136" s="6" t="inlineStr">
        <is>
          <t>HUB-LSD</t>
        </is>
      </c>
      <c r="C136" s="6" t="inlineStr">
        <is>
          <t>Hazard</t>
        </is>
      </c>
      <c r="D136" s="6" t="inlineStr">
        <is>
          <t>H2 Front collision</t>
        </is>
      </c>
      <c r="E136" s="6" t="n">
        <v>8</v>
      </c>
      <c r="F136" s="6" t="n"/>
      <c r="G136" s="6" t="inlineStr">
        <is>
          <t>Excessive Acceleration, Insufficient Deceleration, No Deceleration, No Steering, Unintended Acceleration</t>
        </is>
      </c>
      <c r="H136" s="6" t="inlineStr">
        <is>
          <t>HUB-01, HUB-02, HUB-07</t>
        </is>
      </c>
      <c r="I136" s="6">
        <f>IF(H136="",0,LEN(H136)-LEN(SUBSTITUTE(H136,",",""))+1)</f>
        <v/>
      </c>
      <c r="J136" s="6">
        <f>IF(I136&gt;0,"couvert","trou")</f>
        <v/>
      </c>
      <c r="K136" s="6" t="inlineStr"/>
    </row>
    <row r="137">
      <c r="A137" s="6" t="inlineStr">
        <is>
          <t>Hub</t>
        </is>
      </c>
      <c r="B137" s="6" t="inlineStr">
        <is>
          <t>HUB-LSD</t>
        </is>
      </c>
      <c r="C137" s="6" t="inlineStr">
        <is>
          <t>Hazard</t>
        </is>
      </c>
      <c r="D137" s="6" t="inlineStr">
        <is>
          <t>H3 Rear-end by follower</t>
        </is>
      </c>
      <c r="E137" s="6" t="n">
        <v>10</v>
      </c>
      <c r="F137" s="6" t="n"/>
      <c r="G137" s="6" t="inlineStr">
        <is>
          <t>Brake Lights too late, Excessive Deceleration, Insufficient Acceleration, Insufficient Steering, No Acceleration, No Brake Lights, Unintended Deceleration</t>
        </is>
      </c>
      <c r="H137" s="6" t="inlineStr"/>
      <c r="I137" s="6">
        <f>IF(H137="",0,LEN(H137)-LEN(SUBSTITUTE(H137,",",""))+1)</f>
        <v/>
      </c>
      <c r="J137" s="6">
        <f>IF(I137&gt;0,"couvert","trou")</f>
        <v/>
      </c>
      <c r="K137" s="6" t="inlineStr">
        <is>
          <t>catalogue urbain / hub à compléter (jalon 2)</t>
        </is>
      </c>
    </row>
    <row r="138">
      <c r="A138" s="6" t="inlineStr">
        <is>
          <t>Hub</t>
        </is>
      </c>
      <c r="B138" s="6" t="inlineStr">
        <is>
          <t>HUB-LSD</t>
        </is>
      </c>
      <c r="C138" s="6" t="inlineStr">
        <is>
          <t>Hazard</t>
        </is>
      </c>
      <c r="D138" s="6" t="inlineStr">
        <is>
          <t>H4 Intent not communicated</t>
        </is>
      </c>
      <c r="E138" s="6" t="n">
        <v>7</v>
      </c>
      <c r="F138" s="6" t="n"/>
      <c r="G138" s="6" t="inlineStr">
        <is>
          <t>Brake Lights for too long / stuck, Horn too late, No Horn, Steering too late, Unintended Brake Lights, Unintended Horn</t>
        </is>
      </c>
      <c r="H138" s="6" t="inlineStr"/>
      <c r="I138" s="6">
        <f>IF(H138="",0,LEN(H138)-LEN(SUBSTITUTE(H138,",",""))+1)</f>
        <v/>
      </c>
      <c r="J138" s="6">
        <f>IF(I138&gt;0,"couvert","trou")</f>
        <v/>
      </c>
      <c r="K138" s="6" t="inlineStr">
        <is>
          <t>catalogue urbain / hub à compléter (jalon 2)</t>
        </is>
      </c>
    </row>
    <row r="139">
      <c r="A139" s="6" t="inlineStr">
        <is>
          <t>Hub</t>
        </is>
      </c>
      <c r="B139" s="6" t="inlineStr">
        <is>
          <t>HUB-LSD</t>
        </is>
      </c>
      <c r="C139" s="6" t="inlineStr">
        <is>
          <t>Hazard</t>
        </is>
      </c>
      <c r="D139" s="6" t="inlineStr">
        <is>
          <t>H5 Loss of stability / control</t>
        </is>
      </c>
      <c r="E139" s="6" t="n">
        <v>12</v>
      </c>
      <c r="F139" s="6" t="n"/>
      <c r="G139" s="6" t="inlineStr">
        <is>
          <t>Excessive Acceleration, Excessive Deceleration, Excessive Steering, Insufficient Acceleration, Insufficient Deceleration, Insufficient Steering, No Deceleration, No Steering</t>
        </is>
      </c>
      <c r="H139" s="6" t="inlineStr"/>
      <c r="I139" s="6">
        <f>IF(H139="",0,LEN(H139)-LEN(SUBSTITUTE(H139,",",""))+1)</f>
        <v/>
      </c>
      <c r="J139" s="6">
        <f>IF(I139&gt;0,"couvert","trou")</f>
        <v/>
      </c>
      <c r="K139" s="6" t="inlineStr">
        <is>
          <t>catalogue urbain / hub à compléter (jalon 2)</t>
        </is>
      </c>
    </row>
    <row r="140">
      <c r="A140" s="6" t="inlineStr">
        <is>
          <t>Hub</t>
        </is>
      </c>
      <c r="B140" s="6" t="inlineStr">
        <is>
          <t>HUB-LSD</t>
        </is>
      </c>
      <c r="C140" s="6" t="inlineStr">
        <is>
          <t>Condition ODD</t>
        </is>
      </c>
      <c r="D140" s="6" t="inlineStr">
        <is>
          <t>VRU present</t>
        </is>
      </c>
      <c r="E140" s="6" t="n">
        <v>1</v>
      </c>
      <c r="F140" s="6" t="n"/>
      <c r="G140" s="6" t="inlineStr">
        <is>
          <t>No Horn</t>
        </is>
      </c>
      <c r="H140" s="6" t="inlineStr"/>
      <c r="I140" s="6">
        <f>IF(H140="",0,LEN(H140)-LEN(SUBSTITUTE(H140,",",""))+1)</f>
        <v/>
      </c>
      <c r="J140" s="6">
        <f>IF(I140&gt;0,"couvert","trou")</f>
        <v/>
      </c>
      <c r="K140" s="6" t="inlineStr">
        <is>
          <t>catalogue urbain / hub à compléter (jalon 2)</t>
        </is>
      </c>
    </row>
    <row r="141">
      <c r="A141" s="6" t="inlineStr">
        <is>
          <t>Hub</t>
        </is>
      </c>
      <c r="B141" s="6" t="inlineStr">
        <is>
          <t>HUB-PUL</t>
        </is>
      </c>
      <c r="C141" s="6" t="inlineStr">
        <is>
          <t>Hazard</t>
        </is>
      </c>
      <c r="D141" s="6" t="inlineStr">
        <is>
          <t>H1 Side collision</t>
        </is>
      </c>
      <c r="E141" s="6" t="n">
        <v>15</v>
      </c>
      <c r="F141" s="6" t="n"/>
      <c r="G141" s="6" t="inlineStr">
        <is>
          <t>Excessive Steering, Insufficient Steering, No Steering, Steering for too long / stuck, Steering in opposite direction, Unintended Steering</t>
        </is>
      </c>
      <c r="H141" s="6" t="inlineStr">
        <is>
          <t>HUB-05</t>
        </is>
      </c>
      <c r="I141" s="6">
        <f>IF(H141="",0,LEN(H141)-LEN(SUBSTITUTE(H141,",",""))+1)</f>
        <v/>
      </c>
      <c r="J141" s="6">
        <f>IF(I141&gt;0,"couvert","trou")</f>
        <v/>
      </c>
      <c r="K141" s="6" t="inlineStr"/>
    </row>
    <row r="142">
      <c r="A142" s="6" t="inlineStr">
        <is>
          <t>Hub</t>
        </is>
      </c>
      <c r="B142" s="6" t="inlineStr">
        <is>
          <t>HUB-PUL</t>
        </is>
      </c>
      <c r="C142" s="6" t="inlineStr">
        <is>
          <t>Hazard</t>
        </is>
      </c>
      <c r="D142" s="6" t="inlineStr">
        <is>
          <t>H2 Front collision</t>
        </is>
      </c>
      <c r="E142" s="6" t="n">
        <v>8</v>
      </c>
      <c r="F142" s="6" t="n"/>
      <c r="G142" s="6" t="inlineStr">
        <is>
          <t>Excessive Acceleration, Insufficient Deceleration, No Deceleration, No Steering, Unintended Acceleration</t>
        </is>
      </c>
      <c r="H142" s="6" t="inlineStr">
        <is>
          <t>HUB-08</t>
        </is>
      </c>
      <c r="I142" s="6">
        <f>IF(H142="",0,LEN(H142)-LEN(SUBSTITUTE(H142,",",""))+1)</f>
        <v/>
      </c>
      <c r="J142" s="6">
        <f>IF(I142&gt;0,"couvert","trou")</f>
        <v/>
      </c>
      <c r="K142" s="6" t="inlineStr"/>
    </row>
    <row r="143">
      <c r="A143" s="6" t="inlineStr">
        <is>
          <t>Hub</t>
        </is>
      </c>
      <c r="B143" s="6" t="inlineStr">
        <is>
          <t>HUB-PUL</t>
        </is>
      </c>
      <c r="C143" s="6" t="inlineStr">
        <is>
          <t>Hazard</t>
        </is>
      </c>
      <c r="D143" s="6" t="inlineStr">
        <is>
          <t>H3 Rear-end by follower</t>
        </is>
      </c>
      <c r="E143" s="6" t="n">
        <v>8</v>
      </c>
      <c r="F143" s="6" t="n"/>
      <c r="G143" s="6" t="inlineStr">
        <is>
          <t>Excessive Deceleration, Insufficient Acceleration, Insufficient Steering, No Acceleration, Unintended Deceleration</t>
        </is>
      </c>
      <c r="H143" s="6" t="inlineStr"/>
      <c r="I143" s="6">
        <f>IF(H143="",0,LEN(H143)-LEN(SUBSTITUTE(H143,",",""))+1)</f>
        <v/>
      </c>
      <c r="J143" s="6">
        <f>IF(I143&gt;0,"couvert","trou")</f>
        <v/>
      </c>
      <c r="K143" s="6" t="inlineStr">
        <is>
          <t>catalogue urbain / hub à compléter (jalon 2)</t>
        </is>
      </c>
    </row>
    <row r="144">
      <c r="A144" s="6" t="inlineStr">
        <is>
          <t>Hub</t>
        </is>
      </c>
      <c r="B144" s="6" t="inlineStr">
        <is>
          <t>HUB-PUL</t>
        </is>
      </c>
      <c r="C144" s="6" t="inlineStr">
        <is>
          <t>Hazard</t>
        </is>
      </c>
      <c r="D144" s="6" t="inlineStr">
        <is>
          <t>H4 Intent not communicated</t>
        </is>
      </c>
      <c r="E144" s="6" t="n">
        <v>1</v>
      </c>
      <c r="F144" s="6" t="n"/>
      <c r="G144" s="6" t="inlineStr">
        <is>
          <t>Steering too late</t>
        </is>
      </c>
      <c r="H144" s="6" t="inlineStr"/>
      <c r="I144" s="6">
        <f>IF(H144="",0,LEN(H144)-LEN(SUBSTITUTE(H144,",",""))+1)</f>
        <v/>
      </c>
      <c r="J144" s="6">
        <f>IF(I144&gt;0,"couvert","trou")</f>
        <v/>
      </c>
      <c r="K144" s="6" t="inlineStr">
        <is>
          <t>catalogue urbain / hub à compléter (jalon 2)</t>
        </is>
      </c>
    </row>
    <row r="145">
      <c r="A145" s="6" t="inlineStr">
        <is>
          <t>Hub</t>
        </is>
      </c>
      <c r="B145" s="6" t="inlineStr">
        <is>
          <t>HUB-PUL</t>
        </is>
      </c>
      <c r="C145" s="6" t="inlineStr">
        <is>
          <t>Hazard</t>
        </is>
      </c>
      <c r="D145" s="6" t="inlineStr">
        <is>
          <t>H5 Loss of stability / control</t>
        </is>
      </c>
      <c r="E145" s="6" t="n">
        <v>12</v>
      </c>
      <c r="F145" s="6" t="n"/>
      <c r="G145" s="6" t="inlineStr">
        <is>
          <t>Excessive Acceleration, Excessive Deceleration, Excessive Steering, Insufficient Acceleration, Insufficient Deceleration, Insufficient Steering, No Deceleration, No Steering</t>
        </is>
      </c>
      <c r="H145" s="6" t="inlineStr"/>
      <c r="I145" s="6">
        <f>IF(H145="",0,LEN(H145)-LEN(SUBSTITUTE(H145,",",""))+1)</f>
        <v/>
      </c>
      <c r="J145" s="6">
        <f>IF(I145&gt;0,"couvert","trou")</f>
        <v/>
      </c>
      <c r="K145" s="6" t="inlineStr">
        <is>
          <t>catalogue urbain / hub à compléter (jalon 2)</t>
        </is>
      </c>
    </row>
    <row r="147">
      <c r="D147" s="7" t="inlineStr">
        <is>
          <t>Combinaisons</t>
        </is>
      </c>
      <c r="E147" s="7">
        <f>COUNTA(B5:B145)</f>
        <v/>
      </c>
    </row>
    <row r="148">
      <c r="D148" s="7" t="inlineStr">
        <is>
          <t>Couvertes</t>
        </is>
      </c>
      <c r="E148" s="7">
        <f>COUNTIF(J5:J145,"couvert")</f>
        <v/>
      </c>
    </row>
    <row r="149">
      <c r="D149" s="7" t="inlineStr">
        <is>
          <t>Trous</t>
        </is>
      </c>
      <c r="E149" s="7">
        <f>COUNTIF(J5:J145,"trou")</f>
        <v/>
      </c>
    </row>
    <row r="150">
      <c r="D150" s="7" t="inlineStr">
        <is>
          <t>Trous Highway</t>
        </is>
      </c>
      <c r="E150" s="7">
        <f>COUNTIFS(A5:A145,"Highway",J5:J145,"trou")</f>
        <v/>
      </c>
    </row>
  </sheetData>
  <autoFilter ref="A4:K1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4"/>
  <sheetViews>
    <sheetView zoomScale="90" workbookViewId="0">
      <selection activeCell="A1" sqref="A1"/>
    </sheetView>
  </sheetViews>
  <sheetFormatPr baseColWidth="8" defaultRowHeight="15"/>
  <cols>
    <col width="5" customWidth="1" min="1" max="1"/>
    <col width="48" customWidth="1" min="2" max="2"/>
    <col width="70" customWidth="1" min="3" max="3"/>
    <col width="11" customWidth="1" min="4" max="4"/>
    <col width="10" customWidth="1" min="5" max="5"/>
  </cols>
  <sheetData>
    <row r="1">
      <c r="A1" s="1" t="inlineStr">
        <is>
          <t>Couverture de la typologie NHTSA pré-crash (DOT HS 810 767)</t>
        </is>
      </c>
    </row>
    <row r="2">
      <c r="A2" s="2" t="inlineStr">
        <is>
          <t>37 typologies de pré-crash ; abstracts qui en couvrent chacune.</t>
        </is>
      </c>
    </row>
    <row r="4">
      <c r="A4" s="5" t="inlineStr">
        <is>
          <t>#</t>
        </is>
      </c>
      <c r="B4" s="5" t="inlineStr">
        <is>
          <t>Typologie NHTSA</t>
        </is>
      </c>
      <c r="C4" s="5" t="inlineStr">
        <is>
          <t>Abstracts</t>
        </is>
      </c>
      <c r="D4" s="5" t="inlineStr">
        <is>
          <t>Nb abstracts</t>
        </is>
      </c>
      <c r="E4" s="5" t="inlineStr">
        <is>
          <t>Couverte</t>
        </is>
      </c>
    </row>
    <row r="5">
      <c r="A5" s="6" t="n">
        <v>1</v>
      </c>
      <c r="B5" s="6" t="inlineStr">
        <is>
          <t>No driver present</t>
        </is>
      </c>
      <c r="C5" s="6" t="inlineStr"/>
      <c r="D5" s="6">
        <f>IF(C5="",0,LEN(C5)-LEN(SUBSTITUTE(C5,",",""))+1)</f>
        <v/>
      </c>
      <c r="E5" s="6">
        <f>IF(D5&gt;0,"oui","non")</f>
        <v/>
      </c>
    </row>
    <row r="6">
      <c r="A6" s="6" t="n">
        <v>2</v>
      </c>
      <c r="B6" s="6" t="inlineStr">
        <is>
          <t>Vehicle failure</t>
        </is>
      </c>
      <c r="C6" s="6" t="inlineStr">
        <is>
          <t>LC-ABT-02, FB-01, FB-02</t>
        </is>
      </c>
      <c r="D6" s="6">
        <f>IF(C6="",0,LEN(C6)-LEN(SUBSTITUTE(C6,",",""))+1)</f>
        <v/>
      </c>
      <c r="E6" s="6">
        <f>IF(D6&gt;0,"oui","non")</f>
        <v/>
      </c>
    </row>
    <row r="7">
      <c r="A7" s="6" t="n">
        <v>3</v>
      </c>
      <c r="B7" s="6" t="inlineStr">
        <is>
          <t>Control loss with prior vehicle action</t>
        </is>
      </c>
      <c r="C7" s="6" t="inlineStr"/>
      <c r="D7" s="6">
        <f>IF(C7="",0,LEN(C7)-LEN(SUBSTITUTE(C7,",",""))+1)</f>
        <v/>
      </c>
      <c r="E7" s="6">
        <f>IF(D7&gt;0,"oui","non")</f>
        <v/>
      </c>
    </row>
    <row r="8">
      <c r="A8" s="6" t="n">
        <v>4</v>
      </c>
      <c r="B8" s="6" t="inlineStr">
        <is>
          <t>Control loss without prior vehicle action</t>
        </is>
      </c>
      <c r="C8" s="6" t="inlineStr">
        <is>
          <t>RMP-08, RMP-14, LC-RD-07, RD-12, RD-13, RD-14</t>
        </is>
      </c>
      <c r="D8" s="6">
        <f>IF(C8="",0,LEN(C8)-LEN(SUBSTITUTE(C8,",",""))+1)</f>
        <v/>
      </c>
      <c r="E8" s="6">
        <f>IF(D8&gt;0,"oui","non")</f>
        <v/>
      </c>
    </row>
    <row r="9">
      <c r="A9" s="6" t="n">
        <v>5</v>
      </c>
      <c r="B9" s="6" t="inlineStr">
        <is>
          <t>Running red light</t>
        </is>
      </c>
      <c r="C9" s="6" t="inlineStr">
        <is>
          <t>URB-02</t>
        </is>
      </c>
      <c r="D9" s="6">
        <f>IF(C9="",0,LEN(C9)-LEN(SUBSTITUTE(C9,",",""))+1)</f>
        <v/>
      </c>
      <c r="E9" s="6">
        <f>IF(D9&gt;0,"oui","non")</f>
        <v/>
      </c>
    </row>
    <row r="10">
      <c r="A10" s="6" t="n">
        <v>6</v>
      </c>
      <c r="B10" s="6" t="inlineStr">
        <is>
          <t>Running stop sign</t>
        </is>
      </c>
      <c r="C10" s="6" t="inlineStr">
        <is>
          <t>URB-03</t>
        </is>
      </c>
      <c r="D10" s="6">
        <f>IF(C10="",0,LEN(C10)-LEN(SUBSTITUTE(C10,",",""))+1)</f>
        <v/>
      </c>
      <c r="E10" s="6">
        <f>IF(D10&gt;0,"oui","non")</f>
        <v/>
      </c>
    </row>
    <row r="11">
      <c r="A11" s="6" t="n">
        <v>7</v>
      </c>
      <c r="B11" s="6" t="inlineStr">
        <is>
          <t>Road edge departure with prior vehicle maneuver</t>
        </is>
      </c>
      <c r="C11" s="6" t="inlineStr">
        <is>
          <t>LC-RD-06, RD-09</t>
        </is>
      </c>
      <c r="D11" s="6">
        <f>IF(C11="",0,LEN(C11)-LEN(SUBSTITUTE(C11,",",""))+1)</f>
        <v/>
      </c>
      <c r="E11" s="6">
        <f>IF(D11&gt;0,"oui","non")</f>
        <v/>
      </c>
    </row>
    <row r="12">
      <c r="A12" s="6" t="n">
        <v>8</v>
      </c>
      <c r="B12" s="6" t="inlineStr">
        <is>
          <t>Road edge departure without prior vehicle maneuver</t>
        </is>
      </c>
      <c r="C12" s="6" t="inlineStr">
        <is>
          <t>RMP-08, RMP-14, LC-RD-06, LC-RD-07, RD-09, RD-14</t>
        </is>
      </c>
      <c r="D12" s="6">
        <f>IF(C12="",0,LEN(C12)-LEN(SUBSTITUTE(C12,",",""))+1)</f>
        <v/>
      </c>
      <c r="E12" s="6">
        <f>IF(D12&gt;0,"oui","non")</f>
        <v/>
      </c>
    </row>
    <row r="13">
      <c r="A13" s="6" t="n">
        <v>9</v>
      </c>
      <c r="B13" s="6" t="inlineStr">
        <is>
          <t>Road edge departure while backing up</t>
        </is>
      </c>
      <c r="C13" s="6" t="inlineStr">
        <is>
          <t>HUB-03</t>
        </is>
      </c>
      <c r="D13" s="6">
        <f>IF(C13="",0,LEN(C13)-LEN(SUBSTITUTE(C13,",",""))+1)</f>
        <v/>
      </c>
      <c r="E13" s="6">
        <f>IF(D13&gt;0,"oui","non")</f>
        <v/>
      </c>
    </row>
    <row r="14">
      <c r="A14" s="6" t="n">
        <v>10</v>
      </c>
      <c r="B14" s="6" t="inlineStr">
        <is>
          <t>Animal crash with prior vehicle maneuver</t>
        </is>
      </c>
      <c r="C14" s="6" t="inlineStr">
        <is>
          <t>OBJ-04</t>
        </is>
      </c>
      <c r="D14" s="6">
        <f>IF(C14="",0,LEN(C14)-LEN(SUBSTITUTE(C14,",",""))+1)</f>
        <v/>
      </c>
      <c r="E14" s="6">
        <f>IF(D14&gt;0,"oui","non")</f>
        <v/>
      </c>
    </row>
    <row r="15">
      <c r="A15" s="6" t="n">
        <v>11</v>
      </c>
      <c r="B15" s="6" t="inlineStr">
        <is>
          <t>Animal crash without prior vehicle maneuver</t>
        </is>
      </c>
      <c r="C15" s="6" t="inlineStr">
        <is>
          <t>OBJ-04</t>
        </is>
      </c>
      <c r="D15" s="6">
        <f>IF(C15="",0,LEN(C15)-LEN(SUBSTITUTE(C15,",",""))+1)</f>
        <v/>
      </c>
      <c r="E15" s="6">
        <f>IF(D15&gt;0,"oui","non")</f>
        <v/>
      </c>
    </row>
    <row r="16">
      <c r="A16" s="6" t="n">
        <v>12</v>
      </c>
      <c r="B16" s="6" t="inlineStr">
        <is>
          <t>Pedestrian crash with prior vehicle maneuver</t>
        </is>
      </c>
      <c r="C16" s="6" t="inlineStr">
        <is>
          <t>URB-05, URB-08, HUB-02</t>
        </is>
      </c>
      <c r="D16" s="6">
        <f>IF(C16="",0,LEN(C16)-LEN(SUBSTITUTE(C16,",",""))+1)</f>
        <v/>
      </c>
      <c r="E16" s="6">
        <f>IF(D16&gt;0,"oui","non")</f>
        <v/>
      </c>
    </row>
    <row r="17">
      <c r="A17" s="6" t="n">
        <v>13</v>
      </c>
      <c r="B17" s="6" t="inlineStr">
        <is>
          <t>Pedestrian crash without prior vehicle maneuver</t>
        </is>
      </c>
      <c r="C17" s="6" t="inlineStr">
        <is>
          <t>OBJ-05, URB-08, URB-09, HUB-02</t>
        </is>
      </c>
      <c r="D17" s="6">
        <f>IF(C17="",0,LEN(C17)-LEN(SUBSTITUTE(C17,",",""))+1)</f>
        <v/>
      </c>
      <c r="E17" s="6">
        <f>IF(D17&gt;0,"oui","non")</f>
        <v/>
      </c>
    </row>
    <row r="18">
      <c r="A18" s="6" t="n">
        <v>14</v>
      </c>
      <c r="B18" s="6" t="inlineStr">
        <is>
          <t>Pedalcyclist crash with prior vehicle maneuver</t>
        </is>
      </c>
      <c r="C18" s="6" t="inlineStr">
        <is>
          <t>URB-06</t>
        </is>
      </c>
      <c r="D18" s="6">
        <f>IF(C18="",0,LEN(C18)-LEN(SUBSTITUTE(C18,",",""))+1)</f>
        <v/>
      </c>
      <c r="E18" s="6">
        <f>IF(D18&gt;0,"oui","non")</f>
        <v/>
      </c>
    </row>
    <row r="19">
      <c r="A19" s="6" t="n">
        <v>15</v>
      </c>
      <c r="B19" s="6" t="inlineStr">
        <is>
          <t>Pedalcyclist crash without prior vehicle maneuver</t>
        </is>
      </c>
      <c r="C19" s="6" t="inlineStr">
        <is>
          <t>URB-10</t>
        </is>
      </c>
      <c r="D19" s="6">
        <f>IF(C19="",0,LEN(C19)-LEN(SUBSTITUTE(C19,",",""))+1)</f>
        <v/>
      </c>
      <c r="E19" s="6">
        <f>IF(D19&gt;0,"oui","non")</f>
        <v/>
      </c>
    </row>
    <row r="20">
      <c r="A20" s="6" t="n">
        <v>16</v>
      </c>
      <c r="B20" s="6" t="inlineStr">
        <is>
          <t>Backing up into another vehicle</t>
        </is>
      </c>
      <c r="C20" s="6" t="inlineStr">
        <is>
          <t>RMP-10, HUB-03</t>
        </is>
      </c>
      <c r="D20" s="6">
        <f>IF(C20="",0,LEN(C20)-LEN(SUBSTITUTE(C20,",",""))+1)</f>
        <v/>
      </c>
      <c r="E20" s="6">
        <f>IF(D20&gt;0,"oui","non")</f>
        <v/>
      </c>
    </row>
    <row r="21">
      <c r="A21" s="6" t="n">
        <v>17</v>
      </c>
      <c r="B21" s="6" t="inlineStr">
        <is>
          <t>Vehicle(s) turning, same direction</t>
        </is>
      </c>
      <c r="C21" s="6" t="inlineStr">
        <is>
          <t>URB-16</t>
        </is>
      </c>
      <c r="D21" s="6">
        <f>IF(C21="",0,LEN(C21)-LEN(SUBSTITUTE(C21,",",""))+1)</f>
        <v/>
      </c>
      <c r="E21" s="6">
        <f>IF(D21&gt;0,"oui","non")</f>
        <v/>
      </c>
    </row>
    <row r="22">
      <c r="A22" s="6" t="n">
        <v>18</v>
      </c>
      <c r="B22" s="6" t="inlineStr">
        <is>
          <t>Vehicle(s) parking, same direction</t>
        </is>
      </c>
      <c r="C22" s="6" t="inlineStr">
        <is>
          <t>URB-11</t>
        </is>
      </c>
      <c r="D22" s="6">
        <f>IF(C22="",0,LEN(C22)-LEN(SUBSTITUTE(C22,",",""))+1)</f>
        <v/>
      </c>
      <c r="E22" s="6">
        <f>IF(D22&gt;0,"oui","non")</f>
        <v/>
      </c>
    </row>
    <row r="23">
      <c r="A23" s="6" t="n">
        <v>19</v>
      </c>
      <c r="B23" s="6" t="inlineStr">
        <is>
          <t>Vehicle(s) changing lanes, same direction</t>
        </is>
      </c>
      <c r="C23" s="6" t="inlineStr">
        <is>
          <t>CI-01, CI-02, CI-03, CI-04, CI-05, CI-06, CI-08, ADJ-05, ADJ-07, LC-NOM-02, LC-NOM-03, LC-NOM-04, LC-TGT-01, LC-TGT-02, LC-TGT-03, LC-TGT-04, LC-TGT-05, LC-TGT-06, RMP-01, RMP-02, RMP-09, RMP-12, RMP-13, LC-RD-01, LC-RD-03, LC-RD-04, LC-RD-05, LC-ABT-01</t>
        </is>
      </c>
      <c r="D23" s="6">
        <f>IF(C23="",0,LEN(C23)-LEN(SUBSTITUTE(C23,",",""))+1)</f>
        <v/>
      </c>
      <c r="E23" s="6">
        <f>IF(D23&gt;0,"oui","non")</f>
        <v/>
      </c>
    </row>
    <row r="24">
      <c r="A24" s="6" t="n">
        <v>20</v>
      </c>
      <c r="B24" s="6" t="inlineStr">
        <is>
          <t>Vehicle(s) drifting, same direction</t>
        </is>
      </c>
      <c r="C24" s="6" t="inlineStr">
        <is>
          <t>ADJ-01, ADJ-02, ADJ-03, ADJ-04, ADJ-05, ADJ-06, LC-TGT-05, LC-TGT-06, LC-TGT-07, RD-14</t>
        </is>
      </c>
      <c r="D24" s="6">
        <f>IF(C24="",0,LEN(C24)-LEN(SUBSTITUTE(C24,",",""))+1)</f>
        <v/>
      </c>
      <c r="E24" s="6">
        <f>IF(D24&gt;0,"oui","non")</f>
        <v/>
      </c>
    </row>
    <row r="25">
      <c r="A25" s="6" t="n">
        <v>21</v>
      </c>
      <c r="B25" s="6" t="inlineStr">
        <is>
          <t>Vehicle(s) making a maneuver, opposite direction</t>
        </is>
      </c>
      <c r="C25" s="6" t="inlineStr"/>
      <c r="D25" s="6">
        <f>IF(C25="",0,LEN(C25)-LEN(SUBSTITUTE(C25,",",""))+1)</f>
        <v/>
      </c>
      <c r="E25" s="6">
        <f>IF(D25&gt;0,"oui","non")</f>
        <v/>
      </c>
    </row>
    <row r="26">
      <c r="A26" s="6" t="n">
        <v>22</v>
      </c>
      <c r="B26" s="6" t="inlineStr">
        <is>
          <t>Vehicle(s) not making a maneuver, opposite direction</t>
        </is>
      </c>
      <c r="C26" s="6" t="inlineStr">
        <is>
          <t>AB-01, URB-15</t>
        </is>
      </c>
      <c r="D26" s="6">
        <f>IF(C26="",0,LEN(C26)-LEN(SUBSTITUTE(C26,",",""))+1)</f>
        <v/>
      </c>
      <c r="E26" s="6">
        <f>IF(D26&gt;0,"oui","non")</f>
        <v/>
      </c>
    </row>
    <row r="27">
      <c r="A27" s="6" t="n">
        <v>23</v>
      </c>
      <c r="B27" s="6" t="inlineStr">
        <is>
          <t>Following vehicle making a maneuver</t>
        </is>
      </c>
      <c r="C27" s="6" t="inlineStr">
        <is>
          <t>LC-CUR-03, LC-OOD-02, AB-02, FB-04</t>
        </is>
      </c>
      <c r="D27" s="6">
        <f>IF(C27="",0,LEN(C27)-LEN(SUBSTITUTE(C27,",",""))+1)</f>
        <v/>
      </c>
      <c r="E27" s="6">
        <f>IF(D27&gt;0,"oui","non")</f>
        <v/>
      </c>
    </row>
    <row r="28">
      <c r="A28" s="6" t="n">
        <v>24</v>
      </c>
      <c r="B28" s="6" t="inlineStr">
        <is>
          <t>Lead vehicle accelerating</t>
        </is>
      </c>
      <c r="C28" s="6" t="inlineStr">
        <is>
          <t>LV-06</t>
        </is>
      </c>
      <c r="D28" s="6">
        <f>IF(C28="",0,LEN(C28)-LEN(SUBSTITUTE(C28,",",""))+1)</f>
        <v/>
      </c>
      <c r="E28" s="6">
        <f>IF(D28&gt;0,"oui","non")</f>
        <v/>
      </c>
    </row>
    <row r="29">
      <c r="A29" s="6" t="n">
        <v>25</v>
      </c>
      <c r="B29" s="6" t="inlineStr">
        <is>
          <t>Lead vehicle moving at lower constant speed</t>
        </is>
      </c>
      <c r="C29" s="6" t="inlineStr">
        <is>
          <t>LV-02, LV-09, CI-04, LC-NOM-03</t>
        </is>
      </c>
      <c r="D29" s="6">
        <f>IF(C29="",0,LEN(C29)-LEN(SUBSTITUTE(C29,",",""))+1)</f>
        <v/>
      </c>
      <c r="E29" s="6">
        <f>IF(D29&gt;0,"oui","non")</f>
        <v/>
      </c>
    </row>
    <row r="30">
      <c r="A30" s="6" t="n">
        <v>26</v>
      </c>
      <c r="B30" s="6" t="inlineStr">
        <is>
          <t>Lead vehicle decelerating</t>
        </is>
      </c>
      <c r="C30" s="6" t="inlineStr">
        <is>
          <t>LV-03, LV-04, LV-07, LV-08, CI-07, LC-TGT-04, LC-CUR-01, RMP-11, URB-13, URB-16</t>
        </is>
      </c>
      <c r="D30" s="6">
        <f>IF(C30="",0,LEN(C30)-LEN(SUBSTITUTE(C30,",",""))+1)</f>
        <v/>
      </c>
      <c r="E30" s="6">
        <f>IF(D30&gt;0,"oui","non")</f>
        <v/>
      </c>
    </row>
    <row r="31">
      <c r="A31" s="6" t="n">
        <v>27</v>
      </c>
      <c r="B31" s="6" t="inlineStr">
        <is>
          <t>Lead vehicle stopped</t>
        </is>
      </c>
      <c r="C31" s="6" t="inlineStr">
        <is>
          <t>LV-05, LV-10, LC-CUR-02, RMP-04, RMP-06, EMV-05, URB-12, HUB-08</t>
        </is>
      </c>
      <c r="D31" s="6">
        <f>IF(C31="",0,LEN(C31)-LEN(SUBSTITUTE(C31,",",""))+1)</f>
        <v/>
      </c>
      <c r="E31" s="6">
        <f>IF(D31&gt;0,"oui","non")</f>
        <v/>
      </c>
    </row>
    <row r="32">
      <c r="A32" s="6" t="n">
        <v>28</v>
      </c>
      <c r="B32" s="6" t="inlineStr">
        <is>
          <t>LTAP/OD at signalized junctions</t>
        </is>
      </c>
      <c r="C32" s="6" t="inlineStr">
        <is>
          <t>URB-04</t>
        </is>
      </c>
      <c r="D32" s="6">
        <f>IF(C32="",0,LEN(C32)-LEN(SUBSTITUTE(C32,",",""))+1)</f>
        <v/>
      </c>
      <c r="E32" s="6">
        <f>IF(D32&gt;0,"oui","non")</f>
        <v/>
      </c>
    </row>
    <row r="33">
      <c r="A33" s="6" t="n">
        <v>29</v>
      </c>
      <c r="B33" s="6" t="inlineStr">
        <is>
          <t>Vehicle(s) turning right at signalized junctions</t>
        </is>
      </c>
      <c r="C33" s="6" t="inlineStr">
        <is>
          <t>URB-05</t>
        </is>
      </c>
      <c r="D33" s="6">
        <f>IF(C33="",0,LEN(C33)-LEN(SUBSTITUTE(C33,",",""))+1)</f>
        <v/>
      </c>
      <c r="E33" s="6">
        <f>IF(D33&gt;0,"oui","non")</f>
        <v/>
      </c>
    </row>
    <row r="34">
      <c r="A34" s="6" t="n">
        <v>30</v>
      </c>
      <c r="B34" s="6" t="inlineStr">
        <is>
          <t>LTAP/OD at non-signalized junctions</t>
        </is>
      </c>
      <c r="C34" s="6" t="inlineStr">
        <is>
          <t>URB-04</t>
        </is>
      </c>
      <c r="D34" s="6">
        <f>IF(C34="",0,LEN(C34)-LEN(SUBSTITUTE(C34,",",""))+1)</f>
        <v/>
      </c>
      <c r="E34" s="6">
        <f>IF(D34&gt;0,"oui","non")</f>
        <v/>
      </c>
    </row>
    <row r="35">
      <c r="A35" s="6" t="n">
        <v>31</v>
      </c>
      <c r="B35" s="6" t="inlineStr">
        <is>
          <t>Straight crossing paths at non-signalized junctions</t>
        </is>
      </c>
      <c r="C35" s="6" t="inlineStr">
        <is>
          <t>URB-03, URB-07, HUB-01, HUB-05, HUB-07</t>
        </is>
      </c>
      <c r="D35" s="6">
        <f>IF(C35="",0,LEN(C35)-LEN(SUBSTITUTE(C35,",",""))+1)</f>
        <v/>
      </c>
      <c r="E35" s="6">
        <f>IF(D35&gt;0,"oui","non")</f>
        <v/>
      </c>
    </row>
    <row r="36">
      <c r="A36" s="6" t="n">
        <v>32</v>
      </c>
      <c r="B36" s="6" t="inlineStr">
        <is>
          <t>Vehicle(s) turning at non-signalized junctions</t>
        </is>
      </c>
      <c r="C36" s="6" t="inlineStr"/>
      <c r="D36" s="6">
        <f>IF(C36="",0,LEN(C36)-LEN(SUBSTITUTE(C36,",",""))+1)</f>
        <v/>
      </c>
      <c r="E36" s="6">
        <f>IF(D36&gt;0,"oui","non")</f>
        <v/>
      </c>
    </row>
    <row r="37">
      <c r="A37" s="6" t="n">
        <v>33</v>
      </c>
      <c r="B37" s="6" t="inlineStr">
        <is>
          <t>Evasive action with prior vehicle maneuver</t>
        </is>
      </c>
      <c r="C37" s="6" t="inlineStr">
        <is>
          <t>LC-CUR-02, FB-05, FB-06</t>
        </is>
      </c>
      <c r="D37" s="6">
        <f>IF(C37="",0,LEN(C37)-LEN(SUBSTITUTE(C37,",",""))+1)</f>
        <v/>
      </c>
      <c r="E37" s="6">
        <f>IF(D37&gt;0,"oui","non")</f>
        <v/>
      </c>
    </row>
    <row r="38">
      <c r="A38" s="6" t="n">
        <v>34</v>
      </c>
      <c r="B38" s="6" t="inlineStr">
        <is>
          <t>Evasive action without prior vehicle maneuver</t>
        </is>
      </c>
      <c r="C38" s="6" t="inlineStr">
        <is>
          <t>FB-05</t>
        </is>
      </c>
      <c r="D38" s="6">
        <f>IF(C38="",0,LEN(C38)-LEN(SUBSTITUTE(C38,",",""))+1)</f>
        <v/>
      </c>
      <c r="E38" s="6">
        <f>IF(D38&gt;0,"oui","non")</f>
        <v/>
      </c>
    </row>
    <row r="39">
      <c r="A39" s="6" t="n">
        <v>35</v>
      </c>
      <c r="B39" s="6" t="inlineStr">
        <is>
          <t>Non-collision incident</t>
        </is>
      </c>
      <c r="C39" s="6" t="inlineStr"/>
      <c r="D39" s="6">
        <f>IF(C39="",0,LEN(C39)-LEN(SUBSTITUTE(C39,",",""))+1)</f>
        <v/>
      </c>
      <c r="E39" s="6">
        <f>IF(D39&gt;0,"oui","non")</f>
        <v/>
      </c>
    </row>
    <row r="40">
      <c r="A40" s="6" t="n">
        <v>36</v>
      </c>
      <c r="B40" s="6" t="inlineStr">
        <is>
          <t>Object crash with prior vehicle maneuver</t>
        </is>
      </c>
      <c r="C40" s="6" t="inlineStr">
        <is>
          <t>OBJ-02, OBJ-06</t>
        </is>
      </c>
      <c r="D40" s="6">
        <f>IF(C40="",0,LEN(C40)-LEN(SUBSTITUTE(C40,",",""))+1)</f>
        <v/>
      </c>
      <c r="E40" s="6">
        <f>IF(D40&gt;0,"oui","non")</f>
        <v/>
      </c>
    </row>
    <row r="41">
      <c r="A41" s="6" t="n">
        <v>37</v>
      </c>
      <c r="B41" s="6" t="inlineStr">
        <is>
          <t>Object crash without prior vehicle maneuver</t>
        </is>
      </c>
      <c r="C41" s="6" t="inlineStr">
        <is>
          <t>LC-RD-02, LC-OOD-01, LC-OOD-03, LC-OOD-04, LC-REF-01, OBJ-01, OBJ-02, HUB-06</t>
        </is>
      </c>
      <c r="D41" s="6">
        <f>IF(C41="",0,LEN(C41)-LEN(SUBSTITUTE(C41,",",""))+1)</f>
        <v/>
      </c>
      <c r="E41" s="6">
        <f>IF(D41&gt;0,"oui","non")</f>
        <v/>
      </c>
    </row>
    <row r="43">
      <c r="B43" s="7" t="inlineStr">
        <is>
          <t>Typologies couvertes</t>
        </is>
      </c>
      <c r="D43" s="7">
        <f>COUNTIF(E5:E41,"oui")</f>
        <v/>
      </c>
    </row>
    <row r="44">
      <c r="B44" s="18" t="inlineStr">
        <is>
          <t>Note : #1 (pas de conducteur), #21 (manœuvre en sens inverse) et #35 (incident sans collision) ne s'appliquent pas ou peu à un camion autonome sur I-35.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50" customWidth="1" min="3" max="3"/>
    <col width="40" customWidth="1" min="4" max="4"/>
    <col width="44" customWidth="1" min="5" max="5"/>
    <col width="34" customWidth="1" min="6" max="6"/>
    <col width="11" customWidth="1" min="7" max="7"/>
    <col width="12" customWidth="1" min="8" max="8"/>
  </cols>
  <sheetData>
    <row r="1">
      <c r="A1" s="1" t="inlineStr">
        <is>
          <t>Couverture de la bibliothèque Foretellix / SAFE (VMAD-SG1-11-06, novembre 2020)</t>
        </is>
      </c>
    </row>
    <row r="2">
      <c r="A2" s="2" t="inlineStr">
        <is>
          <t>13 scénarios fonctionnels publics (le §4 en contient 3). Couvert = l'abstract reproduit la situation ; partiel = une partie seulement.</t>
        </is>
      </c>
    </row>
    <row r="4">
      <c r="A4" s="5" t="inlineStr">
        <is>
          <t>§</t>
        </is>
      </c>
      <c r="B4" s="5" t="inlineStr">
        <is>
          <t>Scénario Foretellix</t>
        </is>
      </c>
      <c r="C4" s="5" t="inlineStr">
        <is>
          <t>Description</t>
        </is>
      </c>
      <c r="D4" s="5" t="inlineStr">
        <is>
          <t>Applicable à Torc (camion L4, I-35)</t>
        </is>
      </c>
      <c r="E4" s="5" t="inlineStr">
        <is>
          <t>Abstracts qui couvrent</t>
        </is>
      </c>
      <c r="F4" s="5" t="inlineStr">
        <is>
          <t>Abstracts partiels</t>
        </is>
      </c>
      <c r="G4" s="5" t="inlineStr">
        <is>
          <t>Nb couvrants</t>
        </is>
      </c>
      <c r="H4" s="5" t="inlineStr">
        <is>
          <t>Statut</t>
        </is>
      </c>
    </row>
    <row r="5">
      <c r="A5" s="6" t="inlineStr">
        <is>
          <t>2</t>
        </is>
      </c>
      <c r="B5" s="6" t="inlineStr">
        <is>
          <t>Cut in</t>
        </is>
      </c>
      <c r="C5" s="6" t="inlineStr">
        <is>
          <t>Un véhicule d'une voie voisine se rabat devant le DUT.</t>
        </is>
      </c>
      <c r="D5" s="6" t="inlineStr">
        <is>
          <t>Applicable</t>
        </is>
      </c>
      <c r="E5" s="6" t="inlineStr">
        <is>
          <t>CI-01, CI-02, CI-03, CI-04, CI-05, CI-08</t>
        </is>
      </c>
      <c r="F5" s="6" t="inlineStr">
        <is>
          <t>RMP-09</t>
        </is>
      </c>
      <c r="G5" s="6">
        <f>IF(E5="",0,LEN(E5)-LEN(SUBSTITUTE(E5,",",""))+1)</f>
        <v/>
      </c>
      <c r="H5" s="6">
        <f>IF(G5&gt;0,"couvert",IF(F5&lt;&gt;"","partiel","non couvert"))</f>
        <v/>
      </c>
    </row>
    <row r="6">
      <c r="A6" s="6" t="inlineStr">
        <is>
          <t>3</t>
        </is>
      </c>
      <c r="B6" s="6" t="inlineStr">
        <is>
          <t>Interceptor</t>
        </is>
      </c>
      <c r="C6" s="6" t="inlineStr">
        <is>
          <t>Conflit de trajectoires dans une intersection (au moins 3 branches).</t>
        </is>
      </c>
      <c r="D6" s="6" t="inlineStr">
        <is>
          <t>Hors autoroute : utile pour l'urbain (jalon 2)</t>
        </is>
      </c>
      <c r="E6" s="6" t="inlineStr"/>
      <c r="F6" s="6" t="inlineStr">
        <is>
          <t>URB-02, URB-03, URB-07</t>
        </is>
      </c>
      <c r="G6" s="6">
        <f>IF(E6="",0,LEN(E6)-LEN(SUBSTITUTE(E6,",",""))+1)</f>
        <v/>
      </c>
      <c r="H6" s="6">
        <f>IF(G6&gt;0,"couvert",IF(F6&lt;&gt;"","partiel","non couvert"))</f>
        <v/>
      </c>
    </row>
    <row r="7">
      <c r="A7" s="6" t="inlineStr">
        <is>
          <t>4.1.1</t>
        </is>
      </c>
      <c r="B7" s="6" t="inlineStr">
        <is>
          <t>DUT merges at highway entry</t>
        </is>
      </c>
      <c r="C7" s="6" t="inlineStr">
        <is>
          <t>Le DUT s'insère depuis la bretelle ; un véhicule sort de l'autoroute par la voie d'insertion.</t>
        </is>
      </c>
      <c r="D7" s="6" t="inlineStr">
        <is>
          <t>Applicable</t>
        </is>
      </c>
      <c r="E7" s="6" t="inlineStr">
        <is>
          <t>RMP-13</t>
        </is>
      </c>
      <c r="F7" s="6" t="inlineStr">
        <is>
          <t>RMP-01, LC-RD-03</t>
        </is>
      </c>
      <c r="G7" s="6">
        <f>IF(E7="",0,LEN(E7)-LEN(SUBSTITUTE(E7,",",""))+1)</f>
        <v/>
      </c>
      <c r="H7" s="6">
        <f>IF(G7&gt;0,"couvert",IF(F7&lt;&gt;"","partiel","non couvert"))</f>
        <v/>
      </c>
    </row>
    <row r="8">
      <c r="A8" s="6" t="inlineStr">
        <is>
          <t>4.1.2</t>
        </is>
      </c>
      <c r="B8" s="6" t="inlineStr">
        <is>
          <t>Cut-out to highway exit</t>
        </is>
      </c>
      <c r="C8" s="6" t="inlineStr">
        <is>
          <t>Le leader du DUT sort de l'autoroute par la bretelle.</t>
        </is>
      </c>
      <c r="D8" s="6" t="inlineStr">
        <is>
          <t>Applicable</t>
        </is>
      </c>
      <c r="E8" s="6" t="inlineStr">
        <is>
          <t>RMP-11</t>
        </is>
      </c>
      <c r="F8" s="6" t="inlineStr"/>
      <c r="G8" s="6">
        <f>IF(E8="",0,LEN(E8)-LEN(SUBSTITUTE(E8,",",""))+1)</f>
        <v/>
      </c>
      <c r="H8" s="6">
        <f>IF(G8&gt;0,"couvert",IF(F8&lt;&gt;"","partiel","non couvert"))</f>
        <v/>
      </c>
    </row>
    <row r="9">
      <c r="A9" s="6" t="inlineStr">
        <is>
          <t>4.1.3</t>
        </is>
      </c>
      <c r="B9" s="6" t="inlineStr">
        <is>
          <t>Cars merge at highway entry</t>
        </is>
      </c>
      <c r="C9" s="6" t="inlineStr">
        <is>
          <t>Plusieurs véhicules s'insèrent depuis la bretelle ; le DUT s'aligne dans le convoi.</t>
        </is>
      </c>
      <c r="D9" s="6" t="inlineStr">
        <is>
          <t>Applicable</t>
        </is>
      </c>
      <c r="E9" s="6" t="inlineStr">
        <is>
          <t>RMP-12</t>
        </is>
      </c>
      <c r="F9" s="6" t="inlineStr">
        <is>
          <t>CI-06, LC-RD-05</t>
        </is>
      </c>
      <c r="G9" s="6">
        <f>IF(E9="",0,LEN(E9)-LEN(SUBSTITUTE(E9,",",""))+1)</f>
        <v/>
      </c>
      <c r="H9" s="6">
        <f>IF(G9&gt;0,"couvert",IF(F9&lt;&gt;"","partiel","non couvert"))</f>
        <v/>
      </c>
    </row>
    <row r="10">
      <c r="A10" s="6" t="inlineStr">
        <is>
          <t>5</t>
        </is>
      </c>
      <c r="B10" s="6" t="inlineStr">
        <is>
          <t>Cut out</t>
        </is>
      </c>
      <c r="C10" s="6" t="inlineStr">
        <is>
          <t>Le leader change de voie, parfois en révélant un obstacle ; variante platoon.</t>
        </is>
      </c>
      <c r="D10" s="6" t="inlineStr">
        <is>
          <t>Applicable, sauf la partie platoon (Torc ne fait pas de platooning)</t>
        </is>
      </c>
      <c r="E10" s="6" t="inlineStr">
        <is>
          <t>LV-11, LC-CUR-02</t>
        </is>
      </c>
      <c r="F10" s="6" t="inlineStr">
        <is>
          <t>CI-08, RMP-05</t>
        </is>
      </c>
      <c r="G10" s="6">
        <f>IF(E10="",0,LEN(E10)-LEN(SUBSTITUTE(E10,",",""))+1)</f>
        <v/>
      </c>
      <c r="H10" s="6">
        <f>IF(G10&gt;0,"couvert",IF(F10&lt;&gt;"","partiel","non couvert"))</f>
        <v/>
      </c>
    </row>
    <row r="11">
      <c r="A11" s="6" t="inlineStr">
        <is>
          <t>6</t>
        </is>
      </c>
      <c r="B11" s="6" t="inlineStr">
        <is>
          <t>Oncoming</t>
        </is>
      </c>
      <c r="C11" s="6" t="inlineStr">
        <is>
          <t>Véhicule en sens inverse sur route bidirectionnelle à 2 voies.</t>
        </is>
      </c>
      <c r="D11" s="6" t="inlineStr">
        <is>
          <t>Non applicable sur I-35 (chaussées séparées) ; contresens traité par AB-01</t>
        </is>
      </c>
      <c r="E11" s="6" t="inlineStr"/>
      <c r="F11" s="6" t="inlineStr">
        <is>
          <t>AB-01, URB-15</t>
        </is>
      </c>
      <c r="G11" s="6">
        <f>IF(E11="",0,LEN(E11)-LEN(SUBSTITUTE(E11,",",""))+1)</f>
        <v/>
      </c>
      <c r="H11" s="6">
        <f>IF(G11&gt;0,"couvert",IF(F11&lt;&gt;"","partiel","non couvert"))</f>
        <v/>
      </c>
    </row>
    <row r="12">
      <c r="A12" s="6" t="inlineStr">
        <is>
          <t>7</t>
        </is>
      </c>
      <c r="B12" s="6" t="inlineStr">
        <is>
          <t>Slow neighbors</t>
        </is>
      </c>
      <c r="C12" s="6" t="inlineStr">
        <is>
          <t>Le DUT longe un convoi lent dans la voie adjacente.</t>
        </is>
      </c>
      <c r="D12" s="6" t="inlineStr">
        <is>
          <t>Applicable</t>
        </is>
      </c>
      <c r="E12" s="6" t="inlineStr">
        <is>
          <t>ADJ-05</t>
        </is>
      </c>
      <c r="F12" s="6" t="inlineStr"/>
      <c r="G12" s="6">
        <f>IF(E12="",0,LEN(E12)-LEN(SUBSTITUTE(E12,",",""))+1)</f>
        <v/>
      </c>
      <c r="H12" s="6">
        <f>IF(G12&gt;0,"couvert",IF(F12&lt;&gt;"","partiel","non couvert"))</f>
        <v/>
      </c>
    </row>
    <row r="13">
      <c r="A13" s="6" t="inlineStr">
        <is>
          <t>8</t>
        </is>
      </c>
      <c r="B13" s="6" t="inlineStr">
        <is>
          <t>Lane hugger</t>
        </is>
      </c>
      <c r="C13" s="6" t="inlineStr">
        <is>
          <t>Un véhicule adjacent roule près du marquage côté DUT.</t>
        </is>
      </c>
      <c r="D13" s="6" t="inlineStr">
        <is>
          <t>Applicable</t>
        </is>
      </c>
      <c r="E13" s="6" t="inlineStr">
        <is>
          <t>ADJ-06</t>
        </is>
      </c>
      <c r="F13" s="6" t="inlineStr">
        <is>
          <t>ADJ-01</t>
        </is>
      </c>
      <c r="G13" s="6">
        <f>IF(E13="",0,LEN(E13)-LEN(SUBSTITUTE(E13,",",""))+1)</f>
        <v/>
      </c>
      <c r="H13" s="6">
        <f>IF(G13&gt;0,"couvert",IF(F13&lt;&gt;"","partiel","non couvert"))</f>
        <v/>
      </c>
    </row>
    <row r="14">
      <c r="A14" s="6" t="inlineStr">
        <is>
          <t>9</t>
        </is>
      </c>
      <c r="B14" s="6" t="inlineStr">
        <is>
          <t>To side on curve</t>
        </is>
      </c>
      <c r="C14" s="6" t="inlineStr">
        <is>
          <t>Véhicule adjacent devant dans une courbe ; vitesse adaptée à la courbure.</t>
        </is>
      </c>
      <c r="D14" s="6" t="inlineStr">
        <is>
          <t>Applicable</t>
        </is>
      </c>
      <c r="E14" s="6" t="inlineStr">
        <is>
          <t>RD-14</t>
        </is>
      </c>
      <c r="F14" s="6" t="inlineStr">
        <is>
          <t>RMP-08, LC-RD-07</t>
        </is>
      </c>
      <c r="G14" s="6">
        <f>IF(E14="",0,LEN(E14)-LEN(SUBSTITUTE(E14,",",""))+1)</f>
        <v/>
      </c>
      <c r="H14" s="6">
        <f>IF(G14&gt;0,"couvert",IF(F14&lt;&gt;"","partiel","non couvert"))</f>
        <v/>
      </c>
    </row>
    <row r="15">
      <c r="A15" s="6" t="inlineStr">
        <is>
          <t>10</t>
        </is>
      </c>
      <c r="B15" s="6" t="inlineStr">
        <is>
          <t>Stopped vehicles</t>
        </is>
      </c>
      <c r="C15" s="6" t="inlineStr">
        <is>
          <t>Convoi de véhicules arrêtés dans la voie du DUT ou la voie adjacente.</t>
        </is>
      </c>
      <c r="D15" s="6" t="inlineStr">
        <is>
          <t>Applicable</t>
        </is>
      </c>
      <c r="E15" s="6" t="inlineStr">
        <is>
          <t>LV-05, ADJ-07</t>
        </is>
      </c>
      <c r="F15" s="6" t="inlineStr">
        <is>
          <t>LV-07</t>
        </is>
      </c>
      <c r="G15" s="6">
        <f>IF(E15="",0,LEN(E15)-LEN(SUBSTITUTE(E15,",",""))+1)</f>
        <v/>
      </c>
      <c r="H15" s="6">
        <f>IF(G15&gt;0,"couvert",IF(F15&lt;&gt;"","partiel","non couvert"))</f>
        <v/>
      </c>
    </row>
    <row r="16">
      <c r="A16" s="6" t="inlineStr">
        <is>
          <t>11</t>
        </is>
      </c>
      <c r="B16" s="6" t="inlineStr">
        <is>
          <t>Lead vehicle</t>
        </is>
      </c>
      <c r="C16" s="6" t="inlineStr">
        <is>
          <t>Suivi d'un leader et ses variantes.</t>
        </is>
      </c>
      <c r="D16" s="6" t="inlineStr">
        <is>
          <t>Applicable</t>
        </is>
      </c>
      <c r="E16" s="6" t="inlineStr">
        <is>
          <t>LV-02, LV-03, LV-04, LV-06, LV-07, LV-08</t>
        </is>
      </c>
      <c r="F16" s="6" t="inlineStr"/>
      <c r="G16" s="6">
        <f>IF(E16="",0,LEN(E16)-LEN(SUBSTITUTE(E16,",",""))+1)</f>
        <v/>
      </c>
      <c r="H16" s="6">
        <f>IF(G16&gt;0,"couvert",IF(F16&lt;&gt;"","partiel","non couvert"))</f>
        <v/>
      </c>
    </row>
    <row r="17">
      <c r="A17" s="6" t="inlineStr">
        <is>
          <t>12</t>
        </is>
      </c>
      <c r="B17" s="6" t="inlineStr">
        <is>
          <t>DUT speed limit change</t>
        </is>
      </c>
      <c r="C17" s="6" t="inlineStr">
        <is>
          <t>Changement de limite de vitesse (baisse ou hausse).</t>
        </is>
      </c>
      <c r="D17" s="6" t="inlineStr">
        <is>
          <t>Applicable</t>
        </is>
      </c>
      <c r="E17" s="6" t="inlineStr">
        <is>
          <t>RD-10</t>
        </is>
      </c>
      <c r="F17" s="6" t="inlineStr"/>
      <c r="G17" s="6">
        <f>IF(E17="",0,LEN(E17)-LEN(SUBSTITUTE(E17,",",""))+1)</f>
        <v/>
      </c>
      <c r="H17" s="6">
        <f>IF(G17&gt;0,"couvert",IF(F17&lt;&gt;"","partiel","non couvert"))</f>
        <v/>
      </c>
    </row>
    <row r="18">
      <c r="A18" s="6" t="inlineStr">
        <is>
          <t>13</t>
        </is>
      </c>
      <c r="B18" s="6" t="inlineStr">
        <is>
          <t>DUT merge at lane end</t>
        </is>
      </c>
      <c r="C18" s="6" t="inlineStr">
        <is>
          <t>Fin de voie ; véhicule derrière dans la voie voisine.</t>
        </is>
      </c>
      <c r="D18" s="6" t="inlineStr">
        <is>
          <t>Applicable</t>
        </is>
      </c>
      <c r="E18" s="6" t="inlineStr">
        <is>
          <t>LC-RD-01</t>
        </is>
      </c>
      <c r="F18" s="6" t="inlineStr"/>
      <c r="G18" s="6">
        <f>IF(E18="",0,LEN(E18)-LEN(SUBSTITUTE(E18,",",""))+1)</f>
        <v/>
      </c>
      <c r="H18" s="6">
        <f>IF(G18&gt;0,"couvert",IF(F18&lt;&gt;"","partiel","non couvert"))</f>
        <v/>
      </c>
    </row>
    <row r="19">
      <c r="A19" s="6" t="inlineStr">
        <is>
          <t>14</t>
        </is>
      </c>
      <c r="B19" s="6" t="inlineStr">
        <is>
          <t>Stationary objects</t>
        </is>
      </c>
      <c r="C19" s="6" t="inlineStr">
        <is>
          <t>Flaques, cônes, piétons, camion en travers.</t>
        </is>
      </c>
      <c r="D19" s="6" t="inlineStr">
        <is>
          <t>Applicable ; flaques non modélisées au jalon 1 (adhérence)</t>
        </is>
      </c>
      <c r="E19" s="6" t="inlineStr">
        <is>
          <t>OBJ-01, OBJ-02, OBJ-05</t>
        </is>
      </c>
      <c r="F19" s="6" t="inlineStr">
        <is>
          <t>LC-RD-02, LC-OOD-04, OBJ-04, OBJ-06</t>
        </is>
      </c>
      <c r="G19" s="6">
        <f>IF(E19="",0,LEN(E19)-LEN(SUBSTITUTE(E19,",",""))+1)</f>
        <v/>
      </c>
      <c r="H19" s="6">
        <f>IF(G19&gt;0,"couvert",IF(F19&lt;&gt;"","partiel","non couvert"))</f>
        <v/>
      </c>
    </row>
    <row r="21">
      <c r="B21" s="7" t="inlineStr">
        <is>
          <t>Scénarios couverts</t>
        </is>
      </c>
      <c r="G21" s="7">
        <f>COUNTIF(H5:H19,"couvert")</f>
        <v/>
      </c>
    </row>
    <row r="22">
      <c r="B22" s="18" t="inlineStr">
        <is>
          <t>Ajoutés en v2 grâce à cette bibliothèque : ADJ-05, ADJ-06, ADJ-07, RD-14, RMP-11, RMP-12, RMP-13, CI-08, LV-11.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9" customWidth="1" min="1" max="1"/>
    <col width="46" customWidth="1" min="2" max="2"/>
    <col width="10" customWidth="1" min="3" max="3"/>
    <col width="60" customWidth="1" min="4" max="4"/>
    <col width="10" customWidth="1" min="5" max="5"/>
    <col width="90" customWidth="1" min="6" max="6"/>
  </cols>
  <sheetData>
    <row r="1">
      <c r="A1" s="1" t="inlineStr">
        <is>
          <t>Exigences Jama et abstracts qui permettent de les vérifier</t>
        </is>
      </c>
    </row>
    <row r="2">
      <c r="A2" s="2" t="inlineStr">
        <is>
          <t>Liens proposés par SERYTI, à relire.</t>
        </is>
      </c>
    </row>
    <row r="4">
      <c r="A4" s="5" t="inlineStr">
        <is>
          <t>ID</t>
        </is>
      </c>
      <c r="B4" s="5" t="inlineStr">
        <is>
          <t>Nom</t>
        </is>
      </c>
      <c r="C4" s="5" t="inlineStr">
        <is>
          <t>Statut</t>
        </is>
      </c>
      <c r="D4" s="5" t="inlineStr">
        <is>
          <t>Abstracts liés</t>
        </is>
      </c>
      <c r="E4" s="5" t="inlineStr">
        <is>
          <t>Nb abstracts</t>
        </is>
      </c>
      <c r="F4" s="5" t="inlineStr">
        <is>
          <t>Texte</t>
        </is>
      </c>
    </row>
    <row r="5">
      <c r="A5" s="6" t="inlineStr">
        <is>
          <t>TORC-FLD-30396</t>
        </is>
      </c>
      <c r="B5" s="6" t="inlineStr">
        <is>
          <t>General SDT Constraints</t>
        </is>
      </c>
      <c r="C5" s="6" t="n"/>
      <c r="D5" s="6" t="inlineStr"/>
      <c r="E5" s="6">
        <f>IF(D5="",0,LEN(D5)-LEN(SUBSTITUTE(D5,",",""))+1)</f>
        <v/>
      </c>
      <c r="F5" s="6" t="inlineStr"/>
    </row>
    <row r="6">
      <c r="A6" s="6" t="inlineStr">
        <is>
          <t>TORC-FLD-30475</t>
        </is>
      </c>
      <c r="B6" s="6" t="inlineStr">
        <is>
          <t>Lane Change</t>
        </is>
      </c>
      <c r="C6" s="6" t="n"/>
      <c r="D6" s="6" t="inlineStr"/>
      <c r="E6" s="6">
        <f>IF(D6="",0,LEN(D6)-LEN(SUBSTITUTE(D6,",",""))+1)</f>
        <v/>
      </c>
      <c r="F6" s="6" t="inlineStr"/>
    </row>
    <row r="7">
      <c r="A7" s="6" t="inlineStr">
        <is>
          <t>TORC-FLD-32337</t>
        </is>
      </c>
      <c r="B7" s="6" t="inlineStr">
        <is>
          <t>Obey Traffic-Control Devices</t>
        </is>
      </c>
      <c r="C7" s="6" t="n"/>
      <c r="D7" s="6" t="inlineStr"/>
      <c r="E7" s="6">
        <f>IF(D7="",0,LEN(D7)-LEN(SUBSTITUTE(D7,",",""))+1)</f>
        <v/>
      </c>
      <c r="F7" s="6" t="inlineStr"/>
    </row>
    <row r="8">
      <c r="A8" s="6" t="inlineStr">
        <is>
          <t>TORC-FLD-32338</t>
        </is>
      </c>
      <c r="B8" s="6" t="inlineStr">
        <is>
          <t>Maintain Safe Clearance</t>
        </is>
      </c>
      <c r="C8" s="6" t="n"/>
      <c r="D8" s="6" t="inlineStr"/>
      <c r="E8" s="6">
        <f>IF(D8="",0,LEN(D8)-LEN(SUBSTITUTE(D8,",",""))+1)</f>
        <v/>
      </c>
      <c r="F8" s="6" t="inlineStr"/>
    </row>
    <row r="9">
      <c r="A9" s="6" t="inlineStr">
        <is>
          <t>TORC-FLD-32339</t>
        </is>
      </c>
      <c r="B9" s="6" t="inlineStr">
        <is>
          <t>Convey Trailers</t>
        </is>
      </c>
      <c r="C9" s="6" t="n"/>
      <c r="D9" s="6" t="inlineStr"/>
      <c r="E9" s="6">
        <f>IF(D9="",0,LEN(D9)-LEN(SUBSTITUTE(D9,",",""))+1)</f>
        <v/>
      </c>
      <c r="F9" s="6" t="inlineStr"/>
    </row>
    <row r="10">
      <c r="A10" s="6" t="inlineStr">
        <is>
          <t>TORC-FLD-32340</t>
        </is>
      </c>
      <c r="B10" s="6" t="inlineStr">
        <is>
          <t>Stay Stationary</t>
        </is>
      </c>
      <c r="C10" s="6" t="n"/>
      <c r="D10" s="6" t="inlineStr"/>
      <c r="E10" s="6">
        <f>IF(D10="",0,LEN(D10)-LEN(SUBSTITUTE(D10,",",""))+1)</f>
        <v/>
      </c>
      <c r="F10" s="6" t="inlineStr"/>
    </row>
    <row r="11">
      <c r="A11" s="6" t="inlineStr">
        <is>
          <t>TORC-FLD-32341</t>
        </is>
      </c>
      <c r="B11" s="6" t="inlineStr">
        <is>
          <t>Perform Courtesy Behavior</t>
        </is>
      </c>
      <c r="C11" s="6" t="n"/>
      <c r="D11" s="6" t="inlineStr"/>
      <c r="E11" s="6">
        <f>IF(D11="",0,LEN(D11)-LEN(SUBSTITUTE(D11,",",""))+1)</f>
        <v/>
      </c>
      <c r="F11" s="6" t="inlineStr"/>
    </row>
    <row r="12">
      <c r="A12" s="6" t="inlineStr">
        <is>
          <t>TORC-FLD-32342</t>
        </is>
      </c>
      <c r="B12" s="6" t="inlineStr">
        <is>
          <t>Behavior Definitions</t>
        </is>
      </c>
      <c r="C12" s="6" t="n"/>
      <c r="D12" s="6" t="inlineStr"/>
      <c r="E12" s="6">
        <f>IF(D12="",0,LEN(D12)-LEN(SUBSTITUTE(D12,",",""))+1)</f>
        <v/>
      </c>
      <c r="F12" s="6" t="inlineStr"/>
    </row>
    <row r="13">
      <c r="A13" s="6" t="inlineStr">
        <is>
          <t>TORC-FLD-32343</t>
        </is>
      </c>
      <c r="B13" s="6" t="inlineStr">
        <is>
          <t>Lane Marking</t>
        </is>
      </c>
      <c r="C13" s="6" t="n"/>
      <c r="D13" s="6" t="inlineStr"/>
      <c r="E13" s="6">
        <f>IF(D13="",0,LEN(D13)-LEN(SUBSTITUTE(D13,",",""))+1)</f>
        <v/>
      </c>
      <c r="F13" s="6" t="inlineStr"/>
    </row>
    <row r="14">
      <c r="A14" s="6" t="inlineStr">
        <is>
          <t>TORC-FLD-32344</t>
        </is>
      </c>
      <c r="B14" s="6" t="inlineStr">
        <is>
          <t>Speed Limit Signs</t>
        </is>
      </c>
      <c r="C14" s="6" t="n"/>
      <c r="D14" s="6" t="inlineStr"/>
      <c r="E14" s="6">
        <f>IF(D14="",0,LEN(D14)-LEN(SUBSTITUTE(D14,",",""))+1)</f>
        <v/>
      </c>
      <c r="F14" s="6" t="inlineStr"/>
    </row>
    <row r="15">
      <c r="A15" s="6" t="inlineStr">
        <is>
          <t>TORC-FLD-32345</t>
        </is>
      </c>
      <c r="B15" s="6" t="inlineStr">
        <is>
          <t>OMV</t>
        </is>
      </c>
      <c r="C15" s="6" t="n"/>
      <c r="D15" s="6" t="inlineStr"/>
      <c r="E15" s="6">
        <f>IF(D15="",0,LEN(D15)-LEN(SUBSTITUTE(D15,",",""))+1)</f>
        <v/>
      </c>
      <c r="F15" s="6" t="inlineStr"/>
    </row>
    <row r="16">
      <c r="A16" s="6" t="inlineStr">
        <is>
          <t>TORC-FLD-32351</t>
        </is>
      </c>
      <c r="B16" s="6" t="inlineStr">
        <is>
          <t>Definitions</t>
        </is>
      </c>
      <c r="C16" s="6" t="n"/>
      <c r="D16" s="6" t="inlineStr"/>
      <c r="E16" s="6">
        <f>IF(D16="",0,LEN(D16)-LEN(SUBSTITUTE(D16,",",""))+1)</f>
        <v/>
      </c>
      <c r="F16" s="6" t="inlineStr"/>
    </row>
    <row r="17">
      <c r="A17" s="6" t="inlineStr">
        <is>
          <t>TORC-FLD-32355</t>
        </is>
      </c>
      <c r="B17" s="6" t="inlineStr">
        <is>
          <t>Communicate intent</t>
        </is>
      </c>
      <c r="C17" s="6" t="n"/>
      <c r="D17" s="6" t="inlineStr"/>
      <c r="E17" s="6">
        <f>IF(D17="",0,LEN(D17)-LEN(SUBSTITUTE(D17,",",""))+1)</f>
        <v/>
      </c>
      <c r="F17" s="6" t="inlineStr"/>
    </row>
    <row r="18">
      <c r="A18" s="6" t="inlineStr">
        <is>
          <t>TORC-FLD-32366</t>
        </is>
      </c>
      <c r="B18" s="6" t="inlineStr">
        <is>
          <t>To be removed</t>
        </is>
      </c>
      <c r="C18" s="6" t="n"/>
      <c r="D18" s="6" t="inlineStr"/>
      <c r="E18" s="6">
        <f>IF(D18="",0,LEN(D18)-LEN(SUBSTITUTE(D18,",",""))+1)</f>
        <v/>
      </c>
      <c r="F18" s="6" t="inlineStr"/>
    </row>
    <row r="19">
      <c r="A19" s="6" t="inlineStr">
        <is>
          <t>TORC-FSR-3752</t>
        </is>
      </c>
      <c r="B19" s="6" t="inlineStr">
        <is>
          <t>HICD Stop-in-Lane MRM-E</t>
        </is>
      </c>
      <c r="C19" s="6" t="inlineStr">
        <is>
          <t>snapshot</t>
        </is>
      </c>
      <c r="D19" s="6" t="inlineStr">
        <is>
          <t>FB-07</t>
        </is>
      </c>
      <c r="E19" s="6">
        <f>IF(D19="",0,LEN(D19)-LEN(SUBSTITUTE(D19,",",""))+1)</f>
        <v/>
      </c>
      <c r="F19" s="6" t="inlineStr">
        <is>
          <t>HICD Stop-in-Lane MRM request in Mode 2/3: transition to Stop-in-Lane MRC within TIME_TO_MRC_MRME_REMOTE_STOP (value not in the row). Source: CrawlFSRs Stop in Lane (local snapshot).</t>
        </is>
      </c>
    </row>
    <row r="20">
      <c r="A20" s="6" t="inlineStr">
        <is>
          <t>TORC-SYSRQ-10154</t>
        </is>
      </c>
      <c r="B20" s="6" t="inlineStr">
        <is>
          <t>Stay In Lane - Tractor</t>
        </is>
      </c>
      <c r="C20" s="6" t="inlineStr">
        <is>
          <t>Review</t>
        </is>
      </c>
      <c r="D20" s="6" t="inlineStr">
        <is>
          <t>LV-01, LC-RD-06, RD-09, RD-12</t>
        </is>
      </c>
      <c r="E20" s="6">
        <f>IF(D20="",0,LEN(D20)-LEN(SUBSTITUTE(D20,",",""))+1)</f>
        <v/>
      </c>
      <c r="F20" s="6" t="inlineStr">
        <is>
          <t xml:space="preserve">The SDT shall be designed to limit the duration of any point on the tractor extent being at a lateral distance greater than 0 m outside of the interior lane boundaries to a maximum of 2 consecutive seconds WHEN
Clearly defined lane markings are present on both sides of the SDT AND
Lane width is greater than or equal to 3.5 m AND
Lane horizontal radius of curvature is greater than or equal to 450 m AND
No actor within lateral consideration zone with relative lateral distance less than or equal to the Safe Lateral Buffer (0.3m).
 </t>
        </is>
      </c>
    </row>
    <row r="21">
      <c r="A21" s="6" t="inlineStr">
        <is>
          <t>TORC-SYSRQ-10155</t>
        </is>
      </c>
      <c r="B21" s="6" t="inlineStr">
        <is>
          <t>Definition: Highway Lane Centered Cruise Behavior</t>
        </is>
      </c>
      <c r="C21" s="6" t="inlineStr">
        <is>
          <t>Review</t>
        </is>
      </c>
      <c r="D21" s="6" t="inlineStr">
        <is>
          <t>LV-01, RD-09</t>
        </is>
      </c>
      <c r="E21" s="6">
        <f>IF(D21="",0,LEN(D21)-LEN(SUBSTITUTE(D21,",",""))+1)</f>
        <v/>
      </c>
      <c r="F21" s="6" t="inlineStr">
        <is>
          <t>Maintain steady longitudinal speed and lateral position within the current lane on a highway when no immediate interaction, routing, or tactical maneuver is required. This is the default steady-state driving behavior.
Intent
Maintain progress while complying with traffic rules and ensuring dynamic stability.
Entry Condition
SDT is in robotic mode.
SDT is on a highway lane segment with valid lane geometry. SDT is driving in a lane with visible lane markings on both sides of the SDT.
Interior lane width is greater than or equal to 3.5 m.
Minimum horizontal radius of curvature is 450 m.
No lead vehicle requiring active following behavior within engagement distance.
No mandatory routing event (exit, merge, lane drop) within the planning horizon.
No higher-priority interaction or fallback behavior is active.
Exit Condition
A lead vehicle enters the following engagement range.
A mandatory or discretionary lane change becomes active.
An on-ramp merge, off-ramp exit, or hazard requires behavior transition.
System health degradation requires fallback (includes unclear lane marking/ low confidence in Lane marking perception).
Out of ODD conditions.</t>
        </is>
      </c>
    </row>
    <row r="22">
      <c r="A22" s="6" t="inlineStr">
        <is>
          <t>TORC-SYSRQ-10156</t>
        </is>
      </c>
      <c r="B22" s="6" t="inlineStr">
        <is>
          <t>Stay in Lane - Trailer</t>
        </is>
      </c>
      <c r="C22" s="6" t="inlineStr">
        <is>
          <t>Review</t>
        </is>
      </c>
      <c r="D22" s="6" t="inlineStr"/>
      <c r="E22" s="6">
        <f>IF(D22="",0,LEN(D22)-LEN(SUBSTITUTE(D22,",",""))+1)</f>
        <v/>
      </c>
      <c r="F22" s="6" t="inlineStr">
        <is>
          <t>The SDT shall be designed to limit the duration of any point on the trailer extent being at a lateral distance greater than 0 m outside of the interior lane boundaries to a maximum of 2 consecutive seconds WHEN
Clearly defined lane markings are present on both sides of the SDT AND
Lane width is greater than or equal to 3.5 m AND
Lane horizontal radius of curvature is greater than or equal to 450 m AND
No actor within lateral consideration zone with relative lateral distance less than or equal to the Safe Lateral Buffer (0.3m).</t>
        </is>
      </c>
    </row>
    <row r="23">
      <c r="A23" s="6" t="inlineStr">
        <is>
          <t>TORC-SYSRQ-10157</t>
        </is>
      </c>
      <c r="B23" s="6" t="inlineStr">
        <is>
          <t>Definition: Interior Lane Boundary</t>
        </is>
      </c>
      <c r="C23" s="6" t="inlineStr">
        <is>
          <t>Review</t>
        </is>
      </c>
      <c r="D23" s="6" t="inlineStr"/>
      <c r="E23" s="6">
        <f>IF(D23="",0,LEN(D23)-LEN(SUBSTITUTE(D23,",",""))+1)</f>
        <v/>
      </c>
      <c r="F23" s="6" t="inlineStr">
        <is>
          <t>Interior Lane Boundary is defined as an unbroken (continuous) curve lying along the surface of a road.
The curve defining the interior Lane Boundary is always constructed such that the curve intersects two or more reference points from a set of visible lane markings on the road surface.
For interior lane boundary, the Lane Marking reference point is located at the point on the Lane Marking closest to the inner edge of the lane that the Lane Boundary is a part of.
For Dashed or Dotted Painted Lane markings, a reference point is at minimum at the start and end of the paint for the discrete marking.</t>
        </is>
      </c>
    </row>
    <row r="24">
      <c r="A24" s="6" t="inlineStr">
        <is>
          <t>TORC-SYSRQ-10159</t>
        </is>
      </c>
      <c r="B24" s="6" t="inlineStr">
        <is>
          <t>Lane Departure Failure Rate - Tractor</t>
        </is>
      </c>
      <c r="C24" s="6" t="inlineStr">
        <is>
          <t>Review</t>
        </is>
      </c>
      <c r="D24" s="6" t="inlineStr"/>
      <c r="E24" s="6">
        <f>IF(D24="",0,LEN(D24)-LEN(SUBSTITUTE(D24,",",""))+1)</f>
        <v/>
      </c>
      <c r="F24" s="6" t="inlineStr">
        <is>
          <t>The SDT shall be designed to limit the violations of  Stay in Lane - Tractor to be less than or equal to 0.03 events per mile evaluated over one mission</t>
        </is>
      </c>
    </row>
    <row r="25">
      <c r="A25" s="6" t="inlineStr">
        <is>
          <t>TORC-SYSRQ-10160</t>
        </is>
      </c>
      <c r="B25" s="6" t="inlineStr">
        <is>
          <t>Maximum Allowed Duration for Lane Departure Event - Tractor</t>
        </is>
      </c>
      <c r="C25" s="6" t="inlineStr">
        <is>
          <t>Obsolete</t>
        </is>
      </c>
      <c r="D25" s="6" t="inlineStr"/>
      <c r="E25" s="6">
        <f>IF(D25="",0,LEN(D25)-LEN(SUBSTITUTE(D25,",",""))+1)</f>
        <v/>
      </c>
      <c r="F25" s="6" t="inlineStr">
        <is>
          <t xml:space="preserve">The SDT shall be designed to limit the violations of  Stay in Lane - Tractor to be less than 10 sec per event.
 </t>
        </is>
      </c>
    </row>
    <row r="26">
      <c r="A26" s="6" t="inlineStr">
        <is>
          <t>TORC-SYSRQ-10161</t>
        </is>
      </c>
      <c r="B26" s="6" t="inlineStr">
        <is>
          <t>Lane Centering - Tractor</t>
        </is>
      </c>
      <c r="C26" s="6" t="inlineStr">
        <is>
          <t>Review</t>
        </is>
      </c>
      <c r="D26" s="6" t="inlineStr">
        <is>
          <t>LV-01</t>
        </is>
      </c>
      <c r="E26" s="6">
        <f>IF(D26="",0,LEN(D26)-LEN(SUBSTITUTE(D26,",",""))+1)</f>
        <v/>
      </c>
      <c r="F26" s="6" t="inlineStr">
        <is>
          <t>The SDT shall be designed to limit the duration of any point on the tractor extent (excluding mirrors) being outside of the centering bounds to a maximum of 5 consecutive seconds WHEN
Clearly defined lane markings are present on both sides of the SDT AND
Lane width is greater than or equal to 4 m AND
Lane horizontal radius of curvature is greater than or equal to 450 m AND
No actor within lateral consideration zone with relative lateral distance less than or equal to the Safe Lateral Buffer (0.3m).</t>
        </is>
      </c>
    </row>
    <row r="27">
      <c r="A27" s="6" t="inlineStr">
        <is>
          <t>TORC-SYSRQ-10162</t>
        </is>
      </c>
      <c r="B27" s="6" t="inlineStr">
        <is>
          <t>Definition: Centering Bound</t>
        </is>
      </c>
      <c r="C27" s="6" t="inlineStr">
        <is>
          <t>Review</t>
        </is>
      </c>
      <c r="D27" s="6" t="inlineStr"/>
      <c r="E27" s="6">
        <f>IF(D27="",0,LEN(D27)-LEN(SUBSTITUTE(D27,",",""))+1)</f>
        <v/>
      </c>
      <c r="F27" s="6" t="inlineStr">
        <is>
          <t>The Centering Bound defines a "Virtual Lane" within the SDT's travel lane. The SDT must maintain all physical points of the tractor body (excluding mirrors) and all points of the trailer within this virtual lane. These bounds are calculated to ensure the vehicle remains centered while accounting for both human like driving behavior and the physics of trailer off-tracking.
Table 1: Distance From Lane Boundary (m)
The Centering Bound zone (the keep out buffer distance) from the lane line to the SDT body.
ROC (m)
3.5m Lane
4.0m Lane
3000
0.2862
0.4937
2750
0.2820
0.4785
2500
0.2778
0.4645
2250
0.2736
0.4505
2000
0.2694
0.4365
1500
0.2610
0.4085
1000
0.2526
0.3805
750
0.2484
0.3665
500
0.2442
0.3525
450
0.2400
0.3445
Table 2: Total Centering Distance (m)
The width of the "Virtual Lane due to Centering bounds" the SDT must stay inside.
ROC (m)
3.5m Lane
4.0m Lane
3000
2.9276
3.0126
2750
2.9360
3.0406
2500
2.9444
3.0686
2250
2.9528
3.0966
2000
2.9612
3.1246
1500
2.9780
3.1806
1000
2.9948
3.2366
750
3.0032
3.2646
500
3.0116
3.2926
450
3.0200
3.3086
Table 3. Total Centering Distance Minus</t>
        </is>
      </c>
    </row>
    <row r="28">
      <c r="A28" s="6" t="inlineStr">
        <is>
          <t>TORC-SYSRQ-10163</t>
        </is>
      </c>
      <c r="B28" s="6" t="inlineStr">
        <is>
          <t>Centering Bound Acceptable Violation</t>
        </is>
      </c>
      <c r="C28" s="6" t="inlineStr">
        <is>
          <t>Obsolete</t>
        </is>
      </c>
      <c r="D28" s="6" t="inlineStr"/>
      <c r="E28" s="6">
        <f>IF(D28="",0,LEN(D28)-LEN(SUBSTITUTE(D28,",",""))+1)</f>
        <v/>
      </c>
      <c r="F28" s="6" t="inlineStr">
        <is>
          <t>The SDT shall be designed to have an acceptable violation of centering bounds WHEN
1. Any part of the SDT (trailer and tractor, excluding mirrors) stays outside of the centering bound for less than 2 sec (TBR), AND
2. The time between two consecutive violations of less than 2 sec from centering bound is more than 30 sec.</t>
        </is>
      </c>
    </row>
    <row r="29">
      <c r="A29" s="6" t="inlineStr">
        <is>
          <t>TORC-SYSRQ-10164</t>
        </is>
      </c>
      <c r="B29" s="6" t="inlineStr">
        <is>
          <t>Definition: Exterior Lane Boundary</t>
        </is>
      </c>
      <c r="C29" s="6" t="inlineStr">
        <is>
          <t>Review</t>
        </is>
      </c>
      <c r="D29" s="6" t="inlineStr"/>
      <c r="E29" s="6">
        <f>IF(D29="",0,LEN(D29)-LEN(SUBSTITUTE(D29,",",""))+1)</f>
        <v/>
      </c>
      <c r="F29" s="6" t="inlineStr">
        <is>
          <t>Exterior Lane Boundary is defined as an unbroken (continuous) curve lying along the surface of a road.
The curve defining the exterior Lane Boundary is always constructed such that the curve intersects two or more reference points from a set of visible lane markings on the road surface.
For exterior lane boundary, the Lane Marking reference points** is located at the point on the Lane Marking farthest to the inner edge of the lane that the Lane Boundary is a part of.
For Dashed or Dotted Painted Lane markings, a reference point is at minimum at the start and end of the paint for the discrete marking.</t>
        </is>
      </c>
    </row>
    <row r="30">
      <c r="A30" s="6" t="inlineStr">
        <is>
          <t>TORC-SYSRQ-10167</t>
        </is>
      </c>
      <c r="B30" s="6" t="inlineStr">
        <is>
          <t>Drive at or above Minimum Highway Speed</t>
        </is>
      </c>
      <c r="C30" s="6" t="inlineStr">
        <is>
          <t>Review</t>
        </is>
      </c>
      <c r="D30" s="6" t="inlineStr">
        <is>
          <t>LV-01, LV-11, RD-10</t>
        </is>
      </c>
      <c r="E30" s="6">
        <f>IF(D30="",0,LEN(D30)-LEN(SUBSTITUTE(D30,",",""))+1)</f>
        <v/>
      </c>
      <c r="F30" s="6" t="inlineStr">
        <is>
          <t xml:space="preserve">The SDT shall be designed to drive at or above the limit defined through the minimum of 
road curvature speed
rollover speed
legal speed 
average traffic speed 
minus 10 m/s
WHEN
SDT is on a highway AND
no speed limit sign with a lower speed limit than the current within 300 m in front of the SDT AND
no vehicle within 5 seconds distance to the front in the ego lane. </t>
        </is>
      </c>
    </row>
    <row r="31">
      <c r="A31" s="6" t="inlineStr">
        <is>
          <t>TORC-SYSRQ-10172</t>
        </is>
      </c>
      <c r="B31" s="6" t="inlineStr">
        <is>
          <t>Maximum Lateral Acceleration for Highway Driving</t>
        </is>
      </c>
      <c r="C31" s="6" t="inlineStr">
        <is>
          <t>Review</t>
        </is>
      </c>
      <c r="D31" s="6" t="inlineStr">
        <is>
          <t>RMP-08, RMP-14, LC-RD-07, RD-14</t>
        </is>
      </c>
      <c r="E31" s="6">
        <f>IF(D31="",0,LEN(D31)-LEN(SUBSTITUTE(D31,",",""))+1)</f>
        <v/>
      </c>
      <c r="F31" s="6" t="inlineStr">
        <is>
          <t>The SDT shall be designed to apply a lateral acceleration less than or equal to a_lat_max = MIN(a_lat_geometry, a_lat_rollover), where
a_lat_geometry = V_geometry^2/R = g*(e + f -0.15*G)
where, 'g' is the gravitational acceleration (m/s^2), 'e' is the superelevation, 'f' is the side friction factor, 'G' is the road grade (%, positive for uphill, negative for downhill) and 0.15 is the grade adjustment coefficient.
and,
a_lat_rollover = V_rollover^2/R = g*t/(2*h)
where,  'g' is the gravitational acceleration (m/s^2), 'R' is the horizontal radius of curvature (m), 't' is the truck axle width (m), 'h' is the center of gravity height (m).</t>
        </is>
      </c>
    </row>
    <row r="32">
      <c r="A32" s="6" t="inlineStr">
        <is>
          <t>TORC-SYSRQ-10173</t>
        </is>
      </c>
      <c r="B32" s="6" t="inlineStr">
        <is>
          <t>Maximum Lateral Jerk for Highway Driving</t>
        </is>
      </c>
      <c r="C32" s="6" t="inlineStr">
        <is>
          <t>Obsolete</t>
        </is>
      </c>
      <c r="D32" s="6" t="inlineStr"/>
      <c r="E32" s="6">
        <f>IF(D32="",0,LEN(D32)-LEN(SUBSTITUTE(D32,",",""))+1)</f>
        <v/>
      </c>
      <c r="F32" s="6" t="inlineStr">
        <is>
          <t>The SDT shall be designed to have a maximum lateral jerk less than or equal to j_lat_max = MIN(j_lat_geometry, j_lat_rollover), where
j_lat_geometry = g*(e + f -0.15*G)/T
where, 'g' is the gravitational acceleration (m/s^2), 'e' is the superelevation, 'f' is the side friction factor, 'G' is the road grade (%, positive for uphill, negative for downhill), 0.15 is the grade adjustment coefficient and T is the transition time in seconds. T is the time duration over which a vehicle transitions from zero lateral acceleration (straight driving) to the full steady-state lateral acceleration when entering a curve. 
and,
j_lat_rollover = g*t/(2*h)/T
where,  'g' is the gravitational acceleration (m/s^2), 't' is the truck axle width (m), 'h' is the center of gravity height (m), and T is the transition time in seconds.</t>
        </is>
      </c>
    </row>
    <row r="33">
      <c r="A33" s="6" t="inlineStr">
        <is>
          <t>TORC-SYSRQ-10178</t>
        </is>
      </c>
      <c r="B33" s="6" t="inlineStr">
        <is>
          <t>Maximum Lateral Deviation from Lane - Tractor</t>
        </is>
      </c>
      <c r="C33" s="6" t="inlineStr">
        <is>
          <t>Review</t>
        </is>
      </c>
      <c r="D33" s="6" t="inlineStr">
        <is>
          <t>RD-09, RD-12</t>
        </is>
      </c>
      <c r="E33" s="6">
        <f>IF(D33="",0,LEN(D33)-LEN(SUBSTITUTE(D33,",",""))+1)</f>
        <v/>
      </c>
      <c r="F33" s="6" t="inlineStr">
        <is>
          <t>The SDT shall be designed to keep all points on the tractor extent within a lateral distance of 0.3 m outside of the exterior lane boundaries WHEN
Clearly defined lane markings are present on both sides of the SDT AND
Lane width is greater than or equal to 3.5 m AND
Lane horizontal radius of curvature is greater than or equal to 450 m AND
No actor within lateral consideration zone with relative lateral distance less than or equal to the Safe Lateral Buffer (0.3m).</t>
        </is>
      </c>
    </row>
    <row r="34">
      <c r="A34" s="6" t="inlineStr">
        <is>
          <t>TORC-SYSRQ-10180</t>
        </is>
      </c>
      <c r="B34" s="6" t="inlineStr">
        <is>
          <t>Maintain Distance Greater than or Equal to Lateral Safety Distance to OMVs</t>
        </is>
      </c>
      <c r="C34" s="6" t="inlineStr">
        <is>
          <t>Review</t>
        </is>
      </c>
      <c r="D34" s="6" t="inlineStr">
        <is>
          <t>ADJ-01, ADJ-04, ADJ-05, ADJ-06, OBJ-03</t>
        </is>
      </c>
      <c r="E34" s="6">
        <f>IF(D34="",0,LEN(D34)-LEN(SUBSTITUTE(D34,",",""))+1)</f>
        <v/>
      </c>
      <c r="F34" s="6" t="inlineStr">
        <is>
          <t xml:space="preserve">The SDT shall be designed to maintain a distance greater than or equal to the lateral safety distance to all OMVs within the lateral consideration zone, 
WHEN, 
(clearly defined lane markings are present AND the distance to the outside lane boundary is more than 0.3 m) OR
The lateral distance to other OMVs in the lateral consideration zone is more than the (lateral safety distance + 0.15 m)
 </t>
        </is>
      </c>
    </row>
    <row r="35">
      <c r="A35" s="6" t="inlineStr">
        <is>
          <t>TORC-SYSRQ-10182</t>
        </is>
      </c>
      <c r="B35" s="6" t="inlineStr">
        <is>
          <t>Definition: Lateral Consideration Zone</t>
        </is>
      </c>
      <c r="C35" s="6" t="inlineStr">
        <is>
          <t>Review</t>
        </is>
      </c>
      <c r="D35" s="6" t="inlineStr">
        <is>
          <t>LC-TGT-05</t>
        </is>
      </c>
      <c r="E35" s="6">
        <f>IF(D35="",0,LEN(D35)-LEN(SUBSTITUTE(D35,",",""))+1)</f>
        <v/>
      </c>
      <c r="F35" s="6" t="inlineStr">
        <is>
          <t xml:space="preserve">The lateral consideration zone shall be the area directly adjacent to the SDT Tractor and Trailer on the left and right side, starting longitudinally 0.3 m ahead of the front Bumper and ending 0.3 m behind the Trailer or, when no trailer is attached, behind the end of the Tractor. 
The lateral consideration zone shall laterally extend 4 m from the outside edge of the Tractor and Trailer extent. 
 </t>
        </is>
      </c>
    </row>
    <row r="36">
      <c r="A36" s="6" t="inlineStr">
        <is>
          <t>TORC-SYSRQ-10184</t>
        </is>
      </c>
      <c r="B36" s="6" t="inlineStr">
        <is>
          <t>Definition: Lateral Safety Distance</t>
        </is>
      </c>
      <c r="C36" s="6" t="inlineStr">
        <is>
          <t>Review</t>
        </is>
      </c>
      <c r="D36" s="6" t="inlineStr"/>
      <c r="E36" s="6">
        <f>IF(D36="",0,LEN(D36)-LEN(SUBSTITUTE(D36,",",""))+1)</f>
        <v/>
      </c>
      <c r="F36" s="6" t="inlineStr">
        <is>
          <t xml:space="preserve">The lateral safety distance, d_min, shall be designed as a function of relative lateral velocity, as defined as follows:
Parameters 
Response time of the ego vehicle,
 ρ1 = 1.2 s 
Response time of the other vehicle (human),
 ρ2 = 1.6 s  
Maximum lateral acceleration of the ego during response time, 
 alatmax,accel,1 = 0.15 m/s2 
Other actor lateral acceleration (max),
 alatmax,accel,2 = 0.3 m/s2  
Minimum lateral braking of the ego after response time has elapsed, 
 alatmin,brake,1 = 1.5 m/s2 
Minimum lateral braking of the other vehicle after response time has elapsed (min),
 alatmin,brake,2  = 1.5 m/s2 
Lateral fluctuation margin,
 μ = 0.1 m 
Rationale for values comes from the analysis done here : https://torc.atlassian.net/wiki/x/UviPDQ
Reference frame to calculate acceleration and velocity of the OMVs and the SDT is based on the lane coordinates.
Reference points to calculate Euclidean Distance is based on the closest distance:
Example results:
 </t>
        </is>
      </c>
    </row>
    <row r="37">
      <c r="A37" s="6" t="inlineStr">
        <is>
          <t>TORC-SYSRQ-10195</t>
        </is>
      </c>
      <c r="B37" s="6" t="inlineStr">
        <is>
          <t>Lateral Safety Distance Violation Rate</t>
        </is>
      </c>
      <c r="C37" s="6" t="inlineStr">
        <is>
          <t>Obsolete</t>
        </is>
      </c>
      <c r="D37" s="6" t="inlineStr"/>
      <c r="E37" s="6">
        <f>IF(D37="",0,LEN(D37)-LEN(SUBSTITUTE(D37,",",""))+1)</f>
        <v/>
      </c>
      <c r="F37" s="6" t="inlineStr">
        <is>
          <t>The SDT shall be designed to have an occurrence rate of less than 0.03 events per mile for events where SDT violates the lateral safety distance.</t>
        </is>
      </c>
    </row>
    <row r="38">
      <c r="A38" s="6" t="inlineStr">
        <is>
          <t>TORC-SYSRQ-10197</t>
        </is>
      </c>
      <c r="B38" s="6" t="inlineStr">
        <is>
          <t>Start signaling lane change intention</t>
        </is>
      </c>
      <c r="C38" s="6" t="inlineStr">
        <is>
          <t>Draft</t>
        </is>
      </c>
      <c r="D38" s="6" t="inlineStr">
        <is>
          <t>LC-NOM-01, LC-NOM-02, LC-NOM-03, LC-NOM-04, LC-TGT-01, LC-TGT-02, LC-TGT-03, LC-TGT-04, LC-TGT-05, LC-TGT-06, LC-TGT-07, LC-CUR-01, LC-CUR-02, LC-CUR-03, LC-RD-01, LC-RD-02, LC-RD-03, LC-RD-04, LC-RD-05, LC-RD-06, LC-RD-07, LC-RD-08, LC-OOD-01, LC-OOD-02, LC-OOD-03, LC-OOD-04, LC-REF-01, LC-ABT-01, LC-ABT-02</t>
        </is>
      </c>
      <c r="E38" s="6">
        <f>IF(D38="",0,LEN(D38)-LEN(SUBSTITUTE(D38,",",""))+1)</f>
        <v/>
      </c>
      <c r="F38" s="6" t="inlineStr">
        <is>
          <t xml:space="preserve">The SDT shall be designed to
Action: activate its visual indication for lane change in the direction of the lane change
Condition: at least 3 sec before the start of lane change manuever
 </t>
        </is>
      </c>
    </row>
    <row r="39">
      <c r="A39" s="6" t="inlineStr">
        <is>
          <t>TORC-SYSRQ-10628</t>
        </is>
      </c>
      <c r="B39" s="6" t="inlineStr">
        <is>
          <t>Lane Change Completed Success Rate</t>
        </is>
      </c>
      <c r="C39" s="6" t="inlineStr">
        <is>
          <t>Draft</t>
        </is>
      </c>
      <c r="D39" s="6" t="inlineStr">
        <is>
          <t>LC-NOM-01, LC-NOM-02, LC-NOM-03, LC-NOM-04, LC-TGT-01, LC-TGT-02, LC-TGT-03, LC-TGT-04, LC-TGT-05, LC-TGT-06, LC-TGT-07, LC-CUR-01, LC-CUR-02, LC-CUR-03, LC-RD-01, LC-RD-02, LC-RD-03, LC-RD-04, LC-RD-05, LC-RD-06, LC-RD-07, LC-RD-08, LC-OOD-01, LC-OOD-02, LC-OOD-03, LC-OOD-04, LC-REF-01, LC-ABT-01, LC-ABT-02</t>
        </is>
      </c>
      <c r="E39" s="6">
        <f>IF(D39="",0,LEN(D39)-LEN(SUBSTITUTE(D39,",",""))+1)</f>
        <v/>
      </c>
      <c r="F39" s="6" t="inlineStr">
        <is>
          <t>A lane change is successfully completed when:
1. Lane Change signal is activated at least 3 sec before the start of the lateral maneuver, AND
2. All points of the SDT is completely inside the target lane within the Maximum duration of lateral maneuver for Lane Change AND
3. The lane change signal has deactivated once the SDT is completely inside the target lane.
Lane Change Success rate = (Successful Completed Lane Change / Total Maneuver Attempts) * 100 
Total maneuver attempts include:
1. Aborted Lane Change maneuvers, AND
2. Canceled Lane Change maneuvers, AND
3. Lane Change that takes more than 15 sec of lateral maneuver, AND
4. Lane Changes with failed signal activation/deactivation, AND
5. Successful completed Lane Change maneuvers</t>
        </is>
      </c>
    </row>
    <row r="40">
      <c r="A40" s="6" t="inlineStr">
        <is>
          <t>TORC-SYSRQ-10629</t>
        </is>
      </c>
      <c r="B40" s="6" t="inlineStr">
        <is>
          <t>Lane Change Aborted Success Rate</t>
        </is>
      </c>
      <c r="C40" s="6" t="inlineStr">
        <is>
          <t>Draft</t>
        </is>
      </c>
      <c r="D40" s="6" t="inlineStr">
        <is>
          <t>LC-ABT-01</t>
        </is>
      </c>
      <c r="E40" s="6">
        <f>IF(D40="",0,LEN(D40)-LEN(SUBSTITUTE(D40,",",""))+1)</f>
        <v/>
      </c>
      <c r="F40" s="6" t="inlineStr">
        <is>
          <t xml:space="preserve">Aborted Lane Change is successful when
1. The SDT returns to its lane of origin within the Maximum duration of lateral maneuver for Lane Change, AND
2. Deactivates its signal after all the SDT points are inside the interior lane markings of the original lane
Lane Change Abort Rate = (Aborted Maneuvers / Total Maneuver Attempts) * 100
Total maneuver attempts include:
1. Aborted Lane Change maneuvers, AND
2. Canceled Lane Change maneuvers, AND
3. Lane Change that takes more than 15 sec of lateral maneuver, AND
4. Lane Changes with failed signal activation/deactivation, AND
5. Successful completed Lane Change maneuvers
 </t>
        </is>
      </c>
    </row>
    <row r="41">
      <c r="A41" s="6" t="inlineStr">
        <is>
          <t>TORC-SYSRQ-10640</t>
        </is>
      </c>
      <c r="B41" s="6" t="inlineStr">
        <is>
          <t>Stop signaling lane change, completion</t>
        </is>
      </c>
      <c r="C41" s="6" t="inlineStr">
        <is>
          <t>Draft</t>
        </is>
      </c>
      <c r="D41" s="6" t="inlineStr">
        <is>
          <t>LC-NOM-01, LC-NOM-02, LC-NOM-03, LC-NOM-04, LC-TGT-01, LC-TGT-02, LC-TGT-03, LC-TGT-04, LC-TGT-05, LC-TGT-06, LC-TGT-07, LC-CUR-01, LC-CUR-02, LC-CUR-03, LC-RD-01, LC-RD-02, LC-RD-03, LC-RD-04, LC-RD-05, LC-RD-06, LC-RD-07, LC-RD-08, LC-OOD-01, LC-OOD-02, LC-OOD-03, LC-OOD-04, LC-REF-01, LC-ABT-01, LC-ABT-02</t>
        </is>
      </c>
      <c r="E41" s="6">
        <f>IF(D41="",0,LEN(D41)-LEN(SUBSTITUTE(D41,",",""))+1)</f>
        <v/>
      </c>
      <c r="F41" s="6" t="inlineStr">
        <is>
          <t xml:space="preserve">The SDT shall be designed to
Action:  deactivate its visual signaling to change lane
Condition: when all parts of the SDT (including mirrors) are inside the interior lane markings of the target lane.
 </t>
        </is>
      </c>
    </row>
    <row r="42">
      <c r="A42" s="6" t="inlineStr">
        <is>
          <t>TORC-SYSRQ-10647</t>
        </is>
      </c>
      <c r="B42" s="6" t="inlineStr">
        <is>
          <t>Stop signaling lane change intention, Aborted</t>
        </is>
      </c>
      <c r="C42" s="6" t="inlineStr">
        <is>
          <t>Draft</t>
        </is>
      </c>
      <c r="D42" s="6" t="inlineStr">
        <is>
          <t>LC-TGT-03, LC-ABT-01</t>
        </is>
      </c>
      <c r="E42" s="6">
        <f>IF(D42="",0,LEN(D42)-LEN(SUBSTITUTE(D42,",",""))+1)</f>
        <v/>
      </c>
      <c r="F42" s="6" t="inlineStr">
        <is>
          <t>The SDT shall be designed to
Action: deactivate its visual signaling to change lane
Condition: when all points of the SDT (including the mirrors) are inside the interior lane markings of the original lane.</t>
        </is>
      </c>
    </row>
    <row r="43">
      <c r="A43" s="6" t="inlineStr">
        <is>
          <t>TORC-SYSRQ-10648</t>
        </is>
      </c>
      <c r="B43" s="6" t="inlineStr">
        <is>
          <t>Stop signaling lane change intention, Time Out</t>
        </is>
      </c>
      <c r="C43" s="6" t="inlineStr">
        <is>
          <t>Draft</t>
        </is>
      </c>
      <c r="D43" s="6" t="inlineStr">
        <is>
          <t>LC-NOM-01</t>
        </is>
      </c>
      <c r="E43" s="6">
        <f>IF(D43="",0,LEN(D43)-LEN(SUBSTITUTE(D43,",",""))+1)</f>
        <v/>
      </c>
      <c r="F43" s="6" t="inlineStr">
        <is>
          <t xml:space="preserve">The SDT shall be designed to
Action: deactivate its visual signaling for lane change
Condition: when
1) all points of the SDT are inside the interior lane markings of the original lane, and
2) The visual signal is activated for more than 15 sec
 </t>
        </is>
      </c>
    </row>
    <row r="44">
      <c r="A44" s="6" t="inlineStr">
        <is>
          <t>TORC-SYSRQ-10649</t>
        </is>
      </c>
      <c r="B44" s="6" t="inlineStr">
        <is>
          <t>Sufficient gap (Version I- Distance Based)</t>
        </is>
      </c>
      <c r="C44" s="6" t="inlineStr">
        <is>
          <t>Draft</t>
        </is>
      </c>
      <c r="D44" s="6" t="inlineStr">
        <is>
          <t>LC-NOM-02, LC-TGT-01, LC-TGT-03</t>
        </is>
      </c>
      <c r="E44" s="6">
        <f>IF(D44="",0,LEN(D44)-LEN(SUBSTITUTE(D44,",",""))+1)</f>
        <v/>
      </c>
      <c r="F44" s="6" t="inlineStr">
        <is>
          <t>The gap between lag OMV and lead OMV (dgap) is sufficient if it is greater than the sum of the minimum distance to lag OMV (dlag,min), the length of SDT (dSDT) and the minimum distance to lead OMV (dlead,min).
For lag OMV, the gap is calculated from rear of SDT to front bumper of lag OMV. and for lead OMV, the gap is calculated from the front bumper of SDT to rear of lead OMVs.
The current gap (d0,gap) is calculated based on the current positions (P0,SDT, P0,lag, P0,lead), velocities (v0,SDT, v0,lag, v0,lead) and accelerations (a0,SDT, a0,lag, a0,lead) of SDT, lag OMV and lead OMV (respectively).
The predicted gap (d1,gap) is calculated based on the predicted positions (P1,SDT, P1,lag, P1,lead), predicted velocities (v1,SDT, v1,lag, v1,lead) and predicted accelerations (a1,SDT, a1,lag, a1,lead) of SDT, lag OMV and lead OMV (respectively).
The gap is predicted for future.The selection/design of prediction function is up to system design based on feasibility and prediction error.
The Minimum distance to lag OMV (dlag,min) = (Lane Change distance by Lag OMV (Distance travelled by the Lag OMV before the SDT enters the target lane) + Lag OMV Reaction Distance + Lag OMV St</t>
        </is>
      </c>
    </row>
    <row r="45">
      <c r="A45" s="6" t="inlineStr">
        <is>
          <t>TORC-SYSRQ-10651</t>
        </is>
      </c>
      <c r="B45" s="6" t="inlineStr">
        <is>
          <t>Adjust lateral position, complete lane change</t>
        </is>
      </c>
      <c r="C45" s="6" t="inlineStr">
        <is>
          <t>Draft</t>
        </is>
      </c>
      <c r="D45" s="6" t="inlineStr">
        <is>
          <t>LC-NOM-01, LC-NOM-02, LC-NOM-03, LC-NOM-04, LC-TGT-01, LC-TGT-02, LC-TGT-03, LC-TGT-04, LC-TGT-05, LC-TGT-06, LC-TGT-07, LC-CUR-01, LC-CUR-02, LC-CUR-03, LC-RD-01, LC-RD-02, LC-RD-03, LC-RD-04, LC-RD-05, LC-RD-06, LC-RD-07, LC-RD-08, LC-OOD-01, LC-OOD-02, LC-OOD-03, LC-OOD-04, LC-REF-01, LC-ABT-01, LC-ABT-02</t>
        </is>
      </c>
      <c r="E45" s="6">
        <f>IF(D45="",0,LEN(D45)-LEN(SUBSTITUTE(D45,",",""))+1)</f>
        <v/>
      </c>
      <c r="F45" s="6" t="inlineStr">
        <is>
          <t xml:space="preserve">The SDT shall be designed to
Action: adjust its lateral position to be completely in the SDT's target lane within the 15 sec of the start of the lateral maneuvers.
Condition: when
1. The SDT has lane change visual signal activated, AND
2. The SDT maintains at least the minimum distance to adjacent OMVs. </t>
        </is>
      </c>
    </row>
    <row r="46">
      <c r="A46" s="6" t="inlineStr">
        <is>
          <t>TORC-SYSRQ-10652</t>
        </is>
      </c>
      <c r="B46" s="6" t="inlineStr">
        <is>
          <t>Adjust lateral position, abort lane change</t>
        </is>
      </c>
      <c r="C46" s="6" t="inlineStr">
        <is>
          <t>Draft</t>
        </is>
      </c>
      <c r="D46" s="6" t="inlineStr">
        <is>
          <t>LC-ABT-01</t>
        </is>
      </c>
      <c r="E46" s="6">
        <f>IF(D46="",0,LEN(D46)-LEN(SUBSTITUTE(D46,",",""))+1)</f>
        <v/>
      </c>
      <c r="F46" s="6" t="inlineStr">
        <is>
          <t>The SDT shall be designed to
Action: adjust its lateral position to be completely in the SDT's original lane
Condition: when
- (a) The SDT is signaling its intention to change lane AND
- (b) More than 0% of the Tractor is already in the SDT's target lane interior lane markings,</t>
        </is>
      </c>
    </row>
    <row r="47">
      <c r="A47" s="6" t="inlineStr">
        <is>
          <t>TORC-SYSRQ-13828</t>
        </is>
      </c>
      <c r="B47" s="6" t="inlineStr">
        <is>
          <t>Adjust longitudinal position - Complete Lane Change</t>
        </is>
      </c>
      <c r="C47" s="6" t="inlineStr">
        <is>
          <t>Draft</t>
        </is>
      </c>
      <c r="D47" s="6" t="inlineStr">
        <is>
          <t>LC-NOM-02, LC-TGT-04</t>
        </is>
      </c>
      <c r="E47" s="6">
        <f>IF(D47="",0,LEN(D47)-LEN(SUBSTITUTE(D47,",",""))+1)</f>
        <v/>
      </c>
      <c r="F47" s="6" t="inlineStr">
        <is>
          <t>The SDT shall be designed to 
Action: adjust its longitudinal position to maintain forward TTC of more than 4 sec with the lead vehicles in both original lane and target lane.
Conditions: when
- (a) Lateral Maneuver to change lane has started, AND
- (b) possible sufficient GAP is available</t>
        </is>
      </c>
    </row>
    <row r="48">
      <c r="A48" s="6" t="inlineStr">
        <is>
          <t>TORC-SYSRQ-13830</t>
        </is>
      </c>
      <c r="B48" s="6" t="inlineStr">
        <is>
          <t>Maximum duration of lateral maneuver for Lane Change</t>
        </is>
      </c>
      <c r="C48" s="6" t="inlineStr">
        <is>
          <t>Draft</t>
        </is>
      </c>
      <c r="D48" s="6" t="inlineStr">
        <is>
          <t>LC-NOM-01, LC-NOM-02, LC-NOM-03, LC-NOM-04, LC-TGT-01, LC-TGT-02, LC-TGT-03, LC-TGT-04, LC-TGT-05, LC-TGT-06, LC-TGT-07, LC-CUR-01, LC-CUR-02, LC-CUR-03, LC-RD-01, LC-RD-02, LC-RD-03, LC-RD-04, LC-RD-05, LC-RD-06, LC-RD-07, LC-RD-08, LC-OOD-01, LC-OOD-02, LC-OOD-03, LC-OOD-04, LC-REF-01, LC-ABT-01, LC-ABT-02</t>
        </is>
      </c>
      <c r="E48" s="6">
        <f>IF(D48="",0,LEN(D48)-LEN(SUBSTITUTE(D48,",",""))+1)</f>
        <v/>
      </c>
      <c r="F48" s="6" t="inlineStr">
        <is>
          <t xml:space="preserve">Maximum duration of lateral maneuver for Lane Change is 15 sec.
 </t>
        </is>
      </c>
    </row>
    <row r="49">
      <c r="A49" s="6" t="inlineStr">
        <is>
          <t>TORC-SYSRQ-13835</t>
        </is>
      </c>
      <c r="B49" s="6" t="inlineStr">
        <is>
          <t>Harsh Brake Occurrence Rate for Lane Change maneuvers</t>
        </is>
      </c>
      <c r="C49" s="6" t="inlineStr">
        <is>
          <t>Draft</t>
        </is>
      </c>
      <c r="D49" s="6" t="inlineStr">
        <is>
          <t>LC-TGT-04, LC-CUR-01</t>
        </is>
      </c>
      <c r="E49" s="6">
        <f>IF(D49="",0,LEN(D49)-LEN(SUBSTITUTE(D49,",",""))+1)</f>
        <v/>
      </c>
      <c r="F49" s="6" t="inlineStr">
        <is>
          <t>The SDT shall have less than 2(TBD) harsh brake events over 2000 miles, while performing lane change related maneuvers.
harsh braking thresholds are determined based on the SPI.</t>
        </is>
      </c>
    </row>
    <row r="50">
      <c r="A50" s="6" t="inlineStr">
        <is>
          <t>TORC-SYSRQ-13836</t>
        </is>
      </c>
      <c r="B50" s="6" t="inlineStr">
        <is>
          <t>Sufficient Gap (version II- Time-Based)</t>
        </is>
      </c>
      <c r="C50" s="6" t="inlineStr">
        <is>
          <t>Draft</t>
        </is>
      </c>
      <c r="D50" s="6" t="inlineStr">
        <is>
          <t>LC-NOM-01, LC-NOM-02, LC-NOM-03, LC-NOM-04, LC-TGT-01, LC-TGT-02, LC-TGT-03, LC-TGT-04, LC-TGT-05, LC-TGT-06, LC-TGT-07, LC-CUR-01, LC-CUR-02, LC-CUR-03, RMP-01, RMP-13, LC-RD-01, LC-RD-02, LC-RD-03, LC-RD-04, LC-RD-05, LC-RD-06, LC-RD-07, LC-RD-08, LC-OOD-01, LC-OOD-02, LC-OOD-03, LC-OOD-04, LC-REF-01, LC-ABT-01, LC-ABT-02</t>
        </is>
      </c>
      <c r="E50" s="6">
        <f>IF(D50="",0,LEN(D50)-LEN(SUBSTITUTE(D50,",",""))+1)</f>
        <v/>
      </c>
      <c r="F50" s="6" t="inlineStr">
        <is>
          <t>The SDT shall maintain at least (Range_Rear / Speed_Rear) = 1 sec from the rear vehicle, and (Range_Lead / Speed_Ego) = 1.5 sec from the lead vehicle once at least one point of the SDT is inside the interior lane markings of the target vehicle until the lane change is completed or aborted.
for Stationary Situations, the gap is distance based (Version I) rather than time based gap.</t>
        </is>
      </c>
    </row>
    <row r="51">
      <c r="A51" s="6" t="inlineStr">
        <is>
          <t>TORC-SYSRQ-14065</t>
        </is>
      </c>
      <c r="B51" s="6" t="inlineStr">
        <is>
          <t>Maintain Distance Greater than Absolute Minimum Lateral Distance to OMV</t>
        </is>
      </c>
      <c r="C51" s="6" t="inlineStr">
        <is>
          <t>Review</t>
        </is>
      </c>
      <c r="D51" s="6" t="inlineStr">
        <is>
          <t>ADJ-01</t>
        </is>
      </c>
      <c r="E51" s="6">
        <f>IF(D51="",0,LEN(D51)-LEN(SUBSTITUTE(D51,",",""))+1)</f>
        <v/>
      </c>
      <c r="F51" s="6" t="inlineStr">
        <is>
          <t>The SDT shall be designed to maintain a lateral distance greater than 0 m to OMVs in the lateral consideration zone ​​​.</t>
        </is>
      </c>
    </row>
    <row r="52">
      <c r="A52" s="6" t="inlineStr">
        <is>
          <t>TORC-SYSRQ-14066</t>
        </is>
      </c>
      <c r="B52" s="6" t="inlineStr">
        <is>
          <t>Maintain Distance Greater than Absolute Minimum Longitudinal Distance to OMV</t>
        </is>
      </c>
      <c r="C52" s="6" t="inlineStr">
        <is>
          <t>Review</t>
        </is>
      </c>
      <c r="D52" s="6" t="inlineStr">
        <is>
          <t>LV-02, LV-03, LV-04, LV-05, CI-01, CI-02, CI-03, CI-08</t>
        </is>
      </c>
      <c r="E52" s="6">
        <f>IF(D52="",0,LEN(D52)-LEN(SUBSTITUTE(D52,",",""))+1)</f>
        <v/>
      </c>
      <c r="F52" s="6" t="inlineStr">
        <is>
          <t>The SDT shall maintain a longitudinal distance greater than 0 m to OMVs in front of the SDT</t>
        </is>
      </c>
    </row>
    <row r="53">
      <c r="A53" s="6" t="inlineStr">
        <is>
          <t>TORC-SYSRQ-14073</t>
        </is>
      </c>
      <c r="B53" s="6" t="inlineStr">
        <is>
          <t>Maximum SDT Speed</t>
        </is>
      </c>
      <c r="C53" s="6" t="inlineStr">
        <is>
          <t>Review</t>
        </is>
      </c>
      <c r="D53" s="6" t="inlineStr"/>
      <c r="E53" s="6">
        <f>IF(D53="",0,LEN(D53)-LEN(SUBSTITUTE(D53,",",""))+1)</f>
        <v/>
      </c>
      <c r="F53" s="6" t="inlineStr">
        <is>
          <t>The SDT shall be designed to not exceed 29.05 m/s (65mph)</t>
        </is>
      </c>
    </row>
    <row r="54">
      <c r="A54" s="6" t="inlineStr">
        <is>
          <t>TORC-SYSRQ-14113</t>
        </is>
      </c>
      <c r="B54" s="6" t="inlineStr">
        <is>
          <t>Definition: Clearly Defined Lane Markings</t>
        </is>
      </c>
      <c r="C54" s="6" t="inlineStr">
        <is>
          <t>Review</t>
        </is>
      </c>
      <c r="D54" s="6" t="inlineStr">
        <is>
          <t>LC-RD-06</t>
        </is>
      </c>
      <c r="E54" s="6">
        <f>IF(D54="",0,LEN(D54)-LEN(SUBSTITUTE(D54,",",""))+1)</f>
        <v/>
      </c>
      <c r="F54" s="6" t="inlineStr">
        <is>
          <t>Clearly defined lane markings satisfy the following:
Width 4-8 inches
At least 25% lambertian reflectivity
Non-ambiguous - the difference in the retroreflectivity is 25 mcd/m2/lx between ambiguous lane markings
The set of lane markings should clearly define a lane</t>
        </is>
      </c>
    </row>
    <row r="55">
      <c r="A55" s="6" t="inlineStr">
        <is>
          <t>TORC-SYSRQ-14114</t>
        </is>
      </c>
      <c r="B55" s="6" t="inlineStr">
        <is>
          <t>Maximum Allowed Duration for Lane Departure Event - Trailer</t>
        </is>
      </c>
      <c r="C55" s="6" t="inlineStr">
        <is>
          <t>Obsolete</t>
        </is>
      </c>
      <c r="D55" s="6" t="inlineStr"/>
      <c r="E55" s="6">
        <f>IF(D55="",0,LEN(D55)-LEN(SUBSTITUTE(D55,",",""))+1)</f>
        <v/>
      </c>
      <c r="F55" s="6" t="inlineStr">
        <is>
          <t xml:space="preserve">The SDT shall be designed to limit the violations of  Stay In Lane - Trailer to be less than 10 sec per event.
 </t>
        </is>
      </c>
    </row>
    <row r="56">
      <c r="A56" s="6" t="inlineStr">
        <is>
          <t>TORC-SYSRQ-14117</t>
        </is>
      </c>
      <c r="B56" s="6" t="inlineStr">
        <is>
          <t>Maximum Lateral Deviation from Lane - Trailer</t>
        </is>
      </c>
      <c r="C56" s="6" t="inlineStr">
        <is>
          <t>Review</t>
        </is>
      </c>
      <c r="D56" s="6" t="inlineStr"/>
      <c r="E56" s="6">
        <f>IF(D56="",0,LEN(D56)-LEN(SUBSTITUTE(D56,",",""))+1)</f>
        <v/>
      </c>
      <c r="F56" s="6" t="inlineStr">
        <is>
          <t>The SDT shall be designed to keep all points on the tractor extent within a lateral distance of 0.3 m outside of the exterior lane boundaries WHEN
Clearly defined lane markings are present on both sides of the SDT AND
Lane width is greater than or equal to 3.5 m AND
Lane horizontal radius of curvature is greater than or equal to 450 m AND
No actor within lateral consideration zone with relative lateral distance less than or equal to the Safe Lateral Buffer (0.3m).</t>
        </is>
      </c>
    </row>
    <row r="57">
      <c r="A57" s="6" t="inlineStr">
        <is>
          <t>TORC-SYSRQ-14118</t>
        </is>
      </c>
      <c r="B57" s="6" t="inlineStr">
        <is>
          <t>Drive at or below the Legal Speed Limit</t>
        </is>
      </c>
      <c r="C57" s="6" t="inlineStr">
        <is>
          <t>Review</t>
        </is>
      </c>
      <c r="D57" s="6" t="inlineStr">
        <is>
          <t>LV-01, RD-10</t>
        </is>
      </c>
      <c r="E57" s="6">
        <f>IF(D57="",0,LEN(D57)-LEN(SUBSTITUTE(D57,",",""))+1)</f>
        <v/>
      </c>
      <c r="F57" s="6" t="inlineStr">
        <is>
          <t>The SDT shall be designed to drive at or below the legal speed limit.
Note: The Legal speed limit is the maximum permissible road speed from traffic signs.</t>
        </is>
      </c>
    </row>
    <row r="58">
      <c r="A58" s="6" t="inlineStr">
        <is>
          <t>TORC-SYSRQ-14119</t>
        </is>
      </c>
      <c r="B58" s="6" t="inlineStr">
        <is>
          <t>Lane Departure Failure Rate - Trailer</t>
        </is>
      </c>
      <c r="C58" s="6" t="inlineStr">
        <is>
          <t>Review</t>
        </is>
      </c>
      <c r="D58" s="6" t="inlineStr"/>
      <c r="E58" s="6">
        <f>IF(D58="",0,LEN(D58)-LEN(SUBSTITUTE(D58,",",""))+1)</f>
        <v/>
      </c>
      <c r="F58" s="6" t="inlineStr">
        <is>
          <t>The SDT shall be designed to limit the violations of  Stay In Lane - Trailer to be less than or equal to 0.03 events per mile evaluated over one mission.</t>
        </is>
      </c>
    </row>
    <row r="59">
      <c r="A59" s="6" t="inlineStr">
        <is>
          <t>TORC-SYSRQ-14120</t>
        </is>
      </c>
      <c r="B59" s="6" t="inlineStr">
        <is>
          <t xml:space="preserve">Drive at or below Geometric maximum speed </t>
        </is>
      </c>
      <c r="C59" s="6" t="inlineStr">
        <is>
          <t>Review</t>
        </is>
      </c>
      <c r="D59" s="6" t="inlineStr">
        <is>
          <t>RMP-08, RMP-14, LC-RD-07, RD-13, RD-14</t>
        </is>
      </c>
      <c r="E59" s="6">
        <f>IF(D59="",0,LEN(D59)-LEN(SUBSTITUTE(D59,",",""))+1)</f>
        <v/>
      </c>
      <c r="F59" s="6" t="inlineStr">
        <is>
          <t>The SDT shall be designed to drive below the maximum geometric speed limit, 
WHEN
The SDT drives on the highway
Note: 
The maximum geometric speed limit is defined by 
V_geometry = SQRT(g*R*(e+f-0.15*G)), where
'g' is the gravitational acceleration (m/s^2), 'R' is the horizontal radius of curvature (m), 'e' is the superelevation, 'f' is the side friction factor, 'G' is the road grade (%, positive for uphill, negative for downhill) and 0.15 is the grade adjustment coefficient.
The friction factor 'f' decreases with speed, and is defined empirically as f = 0.17 -0.00143*V. At low speeds (~30 mph), f ~ 0.13 and at high speeds(~80 mph), f ~ 0.06. It's bounded between 0.07 and 0.17.</t>
        </is>
      </c>
    </row>
    <row r="60">
      <c r="A60" s="6" t="inlineStr">
        <is>
          <t>TORC-SYSRQ-14121</t>
        </is>
      </c>
      <c r="B60" s="6" t="inlineStr">
        <is>
          <t xml:space="preserve">Drive at or below rollover speed </t>
        </is>
      </c>
      <c r="C60" s="6" t="inlineStr">
        <is>
          <t>Review</t>
        </is>
      </c>
      <c r="D60" s="6" t="inlineStr">
        <is>
          <t>RMP-08, LC-RD-07</t>
        </is>
      </c>
      <c r="E60" s="6">
        <f>IF(D60="",0,LEN(D60)-LEN(SUBSTITUTE(D60,",",""))+1)</f>
        <v/>
      </c>
      <c r="F60" s="6" t="inlineStr">
        <is>
          <t>The SDT shall be designed to drive below the rollover speed 
When
The SDT drives on a highway
Note: The rollover speed is defined as
V_rollover =  SQRT(g*R*t/(2*h)), where 'g' is the gravitational acceleration (m/s^2), 'R' is the horizontal radius of curvature (m), 't' is the truck axle width (m), 'h' is the center of gravity height (m).
Average traffic speed = average (average rear vehicle speed with 5 sec (TBR) headway from the SDT, median speed of adjacent vehicle in the consideration zone with maximum headway of 5 sec (TBR) away from the SDT).</t>
        </is>
      </c>
    </row>
    <row r="61">
      <c r="A61" s="6" t="inlineStr">
        <is>
          <t>TORC-SYSRQ-14122</t>
        </is>
      </c>
      <c r="B61" s="6" t="inlineStr">
        <is>
          <t>Definition: Lane Centered Adaptive Follow</t>
        </is>
      </c>
      <c r="C61" s="6" t="inlineStr">
        <is>
          <t>Draft</t>
        </is>
      </c>
      <c r="D61" s="6" t="inlineStr">
        <is>
          <t>LV-02, LV-03, LV-06, LV-11, CI-01, CI-08, RMP-11, RMP-12</t>
        </is>
      </c>
      <c r="E61" s="6">
        <f>IF(D61="",0,LEN(D61)-LEN(SUBSTITUTE(D61,",",""))+1)</f>
        <v/>
      </c>
      <c r="F61" s="6" t="inlineStr">
        <is>
          <t>Description
Regulate longitudinal motion to maintain a safe, comfortable, and legally compliant distance behind a lead vehicle traveling in the same lane.
Intent
Reduce collision risk while maintaining reasonable traffic flow and compliance with following-distance expectations.
Entry Condition
A lead vehicle is detected and tracked in the ego lane with sufficient confidence.
Headway or distance falls below the cruise disengagement threshold.
Ego vehicle remains lane-aligned with the lead vehicle.
Exit Condition
Lead vehicle exits the lane or exceeds disengagement distance.
Ego initiates a lane change or overtake.
Route event or merge/exit behavior becomes active.
Tracking confidence drops below acceptable threshold.</t>
        </is>
      </c>
    </row>
    <row r="62">
      <c r="A62" s="6" t="inlineStr">
        <is>
          <t>TORC-SYSRQ-14123</t>
        </is>
      </c>
      <c r="B62" s="6" t="inlineStr">
        <is>
          <t>Definition: Lane Change/ Overtaking</t>
        </is>
      </c>
      <c r="C62" s="6" t="inlineStr">
        <is>
          <t>Draft</t>
        </is>
      </c>
      <c r="D62" s="6" t="inlineStr">
        <is>
          <t>LV-05, LC-NOM-01, LC-NOM-02, LC-NOM-03, LC-NOM-04, LC-TGT-01, LC-TGT-02, LC-TGT-03, LC-TGT-04, LC-TGT-05, LC-TGT-06, LC-TGT-07, LC-CUR-01, LC-CUR-02, LC-CUR-03, LC-RD-01, LC-RD-02, LC-RD-03, LC-RD-04, LC-RD-05, LC-RD-06, LC-RD-07, LC-RD-08, EMV-05, LC-OOD-01, LC-OOD-02, LC-OOD-03, LC-OOD-04, LC-REF-01, OBJ-02, LC-ABT-01, LC-ABT-02</t>
        </is>
      </c>
      <c r="E62" s="6">
        <f>IF(D62="",0,LEN(D62)-LEN(SUBSTITUTE(D62,",",""))+1)</f>
        <v/>
      </c>
      <c r="F62" s="6" t="inlineStr">
        <is>
          <t xml:space="preserve">Description
Transition laterally to an adjacent lane to improve progress or satisfy routing requirements, including gap assessment, signaling, execution, and stabilization.
Intent
Improve progress or satisfy route constraints while maintaining safety, legality, and predictability.
Entry Condition
Adjacent lane exists and lane change is permitted.
Discretionary trigger: lead vehicle significantly slower than desired speed.
Mandatory trigger: lane drop, exit preparation, or obstacle ahead.
Adjacent-lane traffic is sufficiently observable for gap assessment.
Exit Condition
Ego vehicle is fully established and stable in the target lane.
Lane change is safely aborted and ego remains in original lane.
Behavior transitions into adaptive follow or lane-centered cruise.
 </t>
        </is>
      </c>
    </row>
    <row r="63">
      <c r="A63" s="6" t="inlineStr">
        <is>
          <t>TORC-SYSRQ-14124</t>
        </is>
      </c>
      <c r="B63" s="6" t="inlineStr">
        <is>
          <t>Definition: On-Ramp Merge</t>
        </is>
      </c>
      <c r="C63" s="6" t="inlineStr">
        <is>
          <t>Draft</t>
        </is>
      </c>
      <c r="D63" s="6" t="inlineStr">
        <is>
          <t>RMP-01, RMP-02, RMP-03, RMP-04, RMP-05, RMP-13, RMP-14</t>
        </is>
      </c>
      <c r="E63" s="6">
        <f>IF(D63="",0,LEN(D63)-LEN(SUBSTITUTE(D63,",",""))+1)</f>
        <v/>
      </c>
      <c r="F63" s="6" t="inlineStr">
        <is>
          <t>Description
Enter highway mainline traffic from an on-ramp by identifying a suitable gap, adjusting speed accordingly, and merging laterally within the merge zone.
Intent
Join the highway flow safely, legally and efficiently while minimizing disruption to mainline traffic.
Entry Condition
Ego vehicle is on an on-ramp approaching a merge area.
Mainline traffic is detected and tracked with sufficient confidence.
Route requires highway entry.
Ego vehicle is capable of reaching the entry ramp lane within safe bounds.
Exit Condition
Ego vehicle is fully merged and stabilized in the mainline lane (transitions to Lane-Centered Cruise or Adaptive Follow).
Merge is aborted and ego vehicle reaches desired safe state (stops or holds at end of acceleration lane or pulls over to the should if shoulder available).
Emergency maneuver is triggered.</t>
        </is>
      </c>
    </row>
    <row r="64">
      <c r="A64" s="6" t="inlineStr">
        <is>
          <t>TORC-SYSRQ-14125</t>
        </is>
      </c>
      <c r="B64" s="6" t="inlineStr">
        <is>
          <t>Definition: Off-Ramp Exit</t>
        </is>
      </c>
      <c r="C64" s="6" t="inlineStr">
        <is>
          <t>Draft</t>
        </is>
      </c>
      <c r="D64" s="6" t="inlineStr">
        <is>
          <t>RMP-06, RMP-07</t>
        </is>
      </c>
      <c r="E64" s="6">
        <f>IF(D64="",0,LEN(D64)-LEN(SUBSTITUTE(D64,",",""))+1)</f>
        <v/>
      </c>
      <c r="F64" s="6" t="inlineStr">
        <is>
          <t>Description
Navigate the ego vehicle from the mainline highway lane into an off-ramp exit lane, following the planned route and executing the lateral transition within the designated exit zone.
Intent
Exit the highway safely and predictably, maintaining compliance with lane geometry and speed limits.
Entry Condition
Route plan requires the next off-ramp exit.
Ego vehicle is within the pre-exit planning horizon.
Off-ramp entry geometry is detected and confirmed.
Ego vehicle is capable of reaching the exit lane within safe bounds.
Exit Condition
Ego vehicle is fully positioned in the off-ramp lane and decelerating (behavior transitions to urban or surface street behavior).
Exit is missed and a re-route is required.
Emergency maneuver preempts the exit.</t>
        </is>
      </c>
    </row>
    <row r="65">
      <c r="A65" s="6" t="inlineStr">
        <is>
          <t>TORC-SYSRQ-14126</t>
        </is>
      </c>
      <c r="B65" s="6" t="inlineStr">
        <is>
          <t>Definition: Emergency Stop in Lane</t>
        </is>
      </c>
      <c r="C65" s="6" t="inlineStr">
        <is>
          <t>Review</t>
        </is>
      </c>
      <c r="D65" s="6" t="inlineStr">
        <is>
          <t>RD-11, OBJ-02, LC-ABT-02, FB-02, FB-04, FB-07</t>
        </is>
      </c>
      <c r="E65" s="6">
        <f>IF(D65="",0,LEN(D65)-LEN(SUBSTITUTE(D65,",",""))+1)</f>
        <v/>
      </c>
      <c r="F65" s="6" t="inlineStr">
        <is>
          <t xml:space="preserve">Description
Execute an immediate, controlled deceleration to bring the ego vehicle to a stop within its current travel lane in response to a critical failure or imminent hazard that precludes transitioning to Stop on shoulder.
Intent
Bring the vehicle to a safe stop as quickly as practicable while minimizing collision risk.
Entry Condition
A critical DDT-F condition requires an immediate stop and shoulder transition is not possible.
A hazard or system failure precludes continued travel.
Exit Condition
Ego vehicle is stopped in lane with hazard lights active.
Ego vehicle resumes travel lane behavior after stopping related condition is cleared.
Another emergency maneuver overrides the controlled stop.
Emergency services or remote operator intervention is signaled.
Link to Behavior Page: 
https://torc.atlassian.net/wiki/pages/resumedraft.action?draftId=2915696704
 </t>
        </is>
      </c>
    </row>
    <row r="66">
      <c r="A66" s="6" t="inlineStr">
        <is>
          <t>TORC-SYSRQ-14127</t>
        </is>
      </c>
      <c r="B66" s="6" t="inlineStr">
        <is>
          <t>Definition: Controlled Stop on Shoulder</t>
        </is>
      </c>
      <c r="C66" s="6" t="inlineStr">
        <is>
          <t>Draft</t>
        </is>
      </c>
      <c r="D66" s="6" t="inlineStr">
        <is>
          <t>RD-11, EMV-04, LC-ABT-02, FB-01, FB-03, FB-08</t>
        </is>
      </c>
      <c r="E66" s="6">
        <f>IF(D66="",0,LEN(D66)-LEN(SUBSTITUTE(D66,",",""))+1)</f>
        <v/>
      </c>
      <c r="F66" s="6" t="inlineStr">
        <is>
          <t>Description
Execute a controlled, deliberate deceleration and lateral transition to bring the ego vehicle to a stop on the highway shoulder or emergency stopping lane, in response to a planned or reactive need to exit the travel lane safely.
Intent
Bring the vehicle to a safe, stable stop outside the travel lane with minimal risk to occupants and other road users.
Entry Condition
A DDT-F condition or planned stop event requires the ego to exit the travel lane.
A shoulder or emergency stopping area is available and geometrically valid.
No higher-priority emergency maneuver is active.
Exit Condition
Shoulder or emergency stopping area is blocked or unavailable.
Ego vehicle resumes travel lane behavior after stopping related condition is cleared.
Another emergency maneuver overrides the controlled stop.</t>
        </is>
      </c>
    </row>
    <row r="67">
      <c r="A67" s="6" t="inlineStr">
        <is>
          <t>TORC-SYSRQ-14128</t>
        </is>
      </c>
      <c r="B67" s="6" t="inlineStr">
        <is>
          <t>Maintain Distance Greater than Safe Lateral Buffer to OMVs</t>
        </is>
      </c>
      <c r="C67" s="6" t="inlineStr">
        <is>
          <t>Review</t>
        </is>
      </c>
      <c r="D67" s="6" t="inlineStr">
        <is>
          <t>ADJ-01, ADJ-02, ADJ-03, ADJ-04, ADJ-05, ADJ-06, ADJ-07, LC-TGT-05, LC-TGT-06, LC-TGT-07, RD-14, EMV-06, OBJ-03</t>
        </is>
      </c>
      <c r="E67" s="6">
        <f>IF(D67="",0,LEN(D67)-LEN(SUBSTITUTE(D67,",",""))+1)</f>
        <v/>
      </c>
      <c r="F67" s="6" t="inlineStr">
        <is>
          <t>The SDT shall be designed to maintain a lateral distance greater than or equal to 0.3 m to OMVs in the lateral consideration zone.</t>
        </is>
      </c>
    </row>
    <row r="68">
      <c r="A68" s="6" t="inlineStr">
        <is>
          <t>TORC-SYSRQ-14130</t>
        </is>
      </c>
      <c r="B68" s="6" t="inlineStr">
        <is>
          <t>Activate Hazard Light</t>
        </is>
      </c>
      <c r="C68" s="6" t="inlineStr">
        <is>
          <t>Review</t>
        </is>
      </c>
      <c r="D68" s="6" t="inlineStr">
        <is>
          <t>FB-01, FB-02, FB-04</t>
        </is>
      </c>
      <c r="E68" s="6">
        <f>IF(D68="",0,LEN(D68)-LEN(SUBSTITUTE(D68,",",""))+1)</f>
        <v/>
      </c>
      <c r="F68" s="6" t="inlineStr">
        <is>
          <t xml:space="preserve">The SDT shall be designed to have active Hazard Light
WHEN
the long velocity is below 1 m/s AND
no lead vehicle within 15 m (TBD) AND
is on a Highway
 </t>
        </is>
      </c>
    </row>
    <row r="69">
      <c r="A69" s="6" t="inlineStr">
        <is>
          <t>TORC-SYSRQ-14131</t>
        </is>
      </c>
      <c r="B69" s="6" t="inlineStr">
        <is>
          <t>Definition: Average Traffic Speed</t>
        </is>
      </c>
      <c r="C69" s="6" t="inlineStr">
        <is>
          <t>Review</t>
        </is>
      </c>
      <c r="D69" s="6" t="inlineStr"/>
      <c r="E69" s="6">
        <f>IF(D69="",0,LEN(D69)-LEN(SUBSTITUTE(D69,",",""))+1)</f>
        <v/>
      </c>
      <c r="F69" s="6" t="inlineStr">
        <is>
          <t xml:space="preserve">The Average traffic speed is the minimum of
the current AND
the averaged over the last 2 min 
of the velocity of traffic in existing direct adjacent left and right lanes of the ego vehicle, which follows within the next 2 mi along the defined route. 
 </t>
        </is>
      </c>
    </row>
    <row r="70">
      <c r="A70" s="6" t="inlineStr">
        <is>
          <t>TORC-SYSRQ-14132</t>
        </is>
      </c>
      <c r="B70" s="6" t="inlineStr">
        <is>
          <t>Lane Centering - Trailer</t>
        </is>
      </c>
      <c r="C70" s="6" t="inlineStr">
        <is>
          <t>Draft</t>
        </is>
      </c>
      <c r="D70" s="6" t="inlineStr"/>
      <c r="E70" s="6">
        <f>IF(D70="",0,LEN(D70)-LEN(SUBSTITUTE(D70,",",""))+1)</f>
        <v/>
      </c>
      <c r="F70" s="6" t="inlineStr">
        <is>
          <t>The SDT shall be designed to limit the duration of any point on the trailer extent being outside of the centering bounds to a maximum of 5 consecutive seconds WHEN
Clearly defined lane markings are present on both sides of the SDT AND
Lane width is greater than or equal to 4 m AND
Lane horizontal radius of curvature is greater than or equal to 450 m AND
No actor within lateral consideration zone with relative lateral distance less than or equal to the Safe Lateral Buffer (0.3m).</t>
        </is>
      </c>
    </row>
    <row r="71">
      <c r="A71" s="6" t="inlineStr">
        <is>
          <t>TORC-SYSRQ-15232</t>
        </is>
      </c>
      <c r="B71" s="6" t="inlineStr">
        <is>
          <t>EMV Pull-to-Shoulder</t>
        </is>
      </c>
      <c r="C71" s="6" t="inlineStr">
        <is>
          <t>snapshot</t>
        </is>
      </c>
      <c r="D71" s="6" t="inlineStr">
        <is>
          <t>EMV-04, LC-OOD-01</t>
        </is>
      </c>
      <c r="E71" s="6">
        <f>IF(D71="",0,LEN(D71)-LEN(SUBSTITUTE(D71,",",""))+1)</f>
        <v/>
      </c>
      <c r="F71" s="6" t="inlineStr">
        <is>
          <t>LEO/EMV follows continuously for at least 20 s, suitable shoulder available: Pull-to-Shoulder completed within 70 s (rationale mentions 90 s, open point). Source: CRAWL_EMV_Handling_SYSREQ_vSep3 (local snapshot of the Scenario Studio repo).</t>
        </is>
      </c>
    </row>
    <row r="72">
      <c r="A72" s="6" t="inlineStr">
        <is>
          <t>TORC-TXT-14209</t>
        </is>
      </c>
      <c r="B72" s="6" t="inlineStr">
        <is>
          <t>Lane change maneuver</t>
        </is>
      </c>
      <c r="C72" s="6" t="inlineStr">
        <is>
          <t>Review</t>
        </is>
      </c>
      <c r="D72" s="6" t="inlineStr">
        <is>
          <t>LC-NOM-01, LC-NOM-02, LC-NOM-03, LC-NOM-04, LC-TGT-01, LC-TGT-02, LC-TGT-03, LC-TGT-04, LC-TGT-05, LC-TGT-06, LC-TGT-07, LC-CUR-01, LC-CUR-02, LC-CUR-03, LC-RD-01, LC-RD-02, LC-RD-03, LC-RD-04, LC-RD-05, LC-RD-06, LC-RD-07, LC-RD-08, LC-OOD-01, LC-OOD-02, LC-OOD-03, LC-OOD-04, LC-REF-01, LC-ABT-01, LC-ABT-02</t>
        </is>
      </c>
      <c r="E72" s="6">
        <f>IF(D72="",0,LEN(D72)-LEN(SUBSTITUTE(D72,",",""))+1)</f>
        <v/>
      </c>
      <c r="F72" s="6" t="inlineStr">
        <is>
          <t>Lane change maneuver is achieved with the following steps.
Communicate : The SDT indicates its intention to make a lane change by signaling and biasing (inside its own lane) to the direction of the intended lane change
Execution: The SDT starts to laterally move to the target lane by crossing the lane boundary.
Cancel: The SDT looks for a new gap by continuing driving in its own lane. The SDT is still in its own lane and lane change execution has not started.
Completion: The complete tractor and trailer body is in target lane and the SDT adjusted its longitudinal and lateral position in target lane. Turn indicator is turned off.
Abort: The SDT has started to move laterally onto target lane and has not completely finished the lateral movement. The SDT decides to move back to the original lane and continue driving on its own lane.
The above diagram is to illustrate different functional blocks needed for a lane change maneuver. Based on the scenario, few of the functional blocks are needed to complete the behavior.
This framework will be used for all scenarios where a lane change is needed by the SDT.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2026-10-07T14:58:38Z</dcterms:created>
  <dcterms:modified xmlns:dcterms="http://purl.org/dc/terms/" xmlns:xsi="http://www.w3.org/2001/XMLSchema-instance" xsi:type="dcterms:W3CDTF">2026-10-07T14:58:39Z</dcterms:modified>
</cp:coreProperties>
</file>