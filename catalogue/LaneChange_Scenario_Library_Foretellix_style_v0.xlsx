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0.xml.rels" ContentType="application/vnd.openxmlformats-package.relationships+xml"/>
  <Override PartName="/xl/worksheets/_rels/sheet4.xml.rels" ContentType="application/vnd.openxmlformats-package.relationships+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12.xml.rels" ContentType="application/vnd.openxmlformats-package.relationships+xml"/>
  <Override PartName="/xl/worksheets/_rels/sheet5.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vmlDrawing1.vml" ContentType="application/vnd.openxmlformats-officedocument.vmlDrawing"/>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10.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Library Tree" sheetId="2" state="visible" r:id="rId4"/>
    <sheet name="Scenario Catalogue" sheetId="3" state="visible" r:id="rId5"/>
    <sheet name="Actor Slots" sheetId="4" state="visible" r:id="rId6"/>
    <sheet name="Parameters" sheetId="5" state="visible" r:id="rId7"/>
    <sheet name="KPIs &amp; Checkers" sheetId="6" state="visible" r:id="rId8"/>
    <sheet name="Task Chain" sheetId="7" state="visible" r:id="rId9"/>
    <sheet name="Modifiers" sheetId="8" state="visible" r:id="rId10"/>
    <sheet name="HIRE Traceability" sheetId="9" state="visible" r:id="rId11"/>
    <sheet name="Scenario x TC x FI" sheetId="10" state="visible" r:id="rId12"/>
    <sheet name="Coverage Stats" sheetId="11" state="visible" r:id="rId13"/>
    <sheet name="Gaps &amp; Open Points" sheetId="12" state="visible" r:id="rId14"/>
  </sheets>
  <definedNames>
    <definedName function="false" hidden="true" localSheetId="3" name="_xlnm._FilterDatabase" vbProcedure="false">'Actor Slots'!$A$4:$D$14</definedName>
    <definedName function="false" hidden="true" localSheetId="11" name="_xlnm._FilterDatabase" vbProcedure="false">'Gaps &amp; Open Points'!$A$4:$D$11</definedName>
    <definedName function="false" hidden="true" localSheetId="8" name="_xlnm._FilterDatabase" vbProcedure="false">'HIRE Traceability'!$A$4:$M$65</definedName>
    <definedName function="false" hidden="true" localSheetId="5" name="_xlnm._FilterDatabase" vbProcedure="false">'KPIs &amp; Checkers'!$A$4:$H$24</definedName>
    <definedName function="false" hidden="true" localSheetId="1" name="_xlnm._FilterDatabase" vbProcedure="false">'Library Tree'!$A$4:$G$38</definedName>
    <definedName function="false" hidden="true" localSheetId="7" name="_xlnm._FilterDatabase" vbProcedure="false">Modifiers!$A$4:$G$15</definedName>
    <definedName function="false" hidden="true" localSheetId="4" name="_xlnm._FilterDatabase" vbProcedure="false">Parameters!$A$4:$F$26</definedName>
    <definedName function="false" hidden="true" localSheetId="2" name="_xlnm._FilterDatabase" vbProcedure="false">'Scenario Catalogue'!$A$4:$AB$32</definedName>
    <definedName function="false" hidden="true" localSheetId="9" name="_xlnm._FilterDatabase" vbProcedure="false">'Scenario x TC x FI'!$A$4:$K$407</definedName>
    <definedName function="false" hidden="true" localSheetId="6" name="_xlnm._FilterDatabase" vbProcedure="false">'Task Chain'!$A$4:$G$14</definedName>
  </definedNames>
  <calcPr iterateCount="100" refMode="A1" iterate="false" iterateDelta="0.0001"/>
  <extLst>
    <ext xmlns:loext="http://schemas.libreoffice.org/" uri="{7626C862-2A13-11E5-B345-FEFF819CDC9F}">
      <loext:extCalcPr stringRefSyntax="ExcelA1"/>
    </ext>
  </extLst>
</workbook>
</file>

<file path=xl/comments3.xml><?xml version="1.0" encoding="utf-8"?>
<comments xmlns="http://schemas.openxmlformats.org/spreadsheetml/2006/main" xmlns:xdr="http://schemas.openxmlformats.org/drawingml/2006/spreadsheetDrawing">
  <authors>
    <author>Unknown Author</author>
  </authors>
  <commentList>
    <comment ref="J4" authorId="0">
      <text>
        <r>
          <rPr>
            <sz val="10"/>
            <rFont val="Arial"/>
            <family val="2"/>
          </rPr>
          <t xml:space="preserve">Jama IDs from outputs/L1-L5_ODD_report_final.json (odd_element_definitions).</t>
        </r>
      </text>
    </comment>
    <comment ref="T4" authorId="0">
      <text>
        <r>
          <rPr>
            <sz val="10"/>
            <rFont val="Arial"/>
            <family val="2"/>
          </rPr>
          <t xml:space="preserve">Count of Highway Lane Change HIRE rows whose HAZOP Hazard Context is stressed by this scenario. Full list in sheet 'HIRE Traceability'.</t>
        </r>
      </text>
    </comment>
    <comment ref="Y4" authorId="0">
      <text>
        <r>
          <rPr>
            <sz val="10"/>
            <rFont val="Arial"/>
            <family val="2"/>
          </rPr>
          <t xml:space="preserve">Derived from the scenario TCs through Full_Mapping_TC_FI_Hazard_Arch.xlsx ('TC-FI exploded').</t>
        </r>
      </text>
    </comment>
  </commentList>
</comments>
</file>

<file path=xl/sharedStrings.xml><?xml version="1.0" encoding="utf-8"?>
<sst xmlns="http://schemas.openxmlformats.org/spreadsheetml/2006/main" count="6711" uniqueCount="1485">
  <si>
    <t xml:space="preserve">Lane Change Scenario Library, Foretellix style (v0, PROPOSED)</t>
  </si>
  <si>
    <t xml:space="preserve">SERYTI for Torc Robotics, DO-Crawl I-35 South. Behavior: Highway 'Lane Changes / Overtaking' (Torc Behavior Table: Safety, Traffic Compliance, Efficiency, Courtesy).</t>
  </si>
  <si>
    <t xml:space="preserve">PURPOSE</t>
  </si>
  <si>
    <t xml:space="preserve">First full Phase 1A deliverable of the Miro flow for one behavior: Behavior &gt; Scenario decomposition (static + dynamic ODD elements) &gt; SDT tasks &gt; wanted behavior rules, linked to Phase 1B (unwanted / unsafe behaviors from HIRE) and to TC / FI. Built as a Foretellix-style scenario library so it can be executed in a scenario-based tool (OpenSCENARIO DSL).</t>
  </si>
  <si>
    <t xml:space="preserve">LEVELS</t>
  </si>
  <si>
    <t xml:space="preserve">Torc Miro 'Abstract Scenario' (ego maneuver only) = scenario FAMILY root here (LC-NOM-01).
Torc Miro 'Concrete Scenario A / B' (ego + placed actors) = ABSTRACT scenarios in Foretellix / ISO 34501 terms (LC-NOM-02, LC-TGT-02): actors, phases, symbolic parameters.
Variants of an actor (Miro: E holds SDT speed / E accelerates) = parameter values, swept at LOGICAL level (ranges, sheet 'Parameters') then CONCRETE level (sampled values, done in the tool).</t>
  </si>
  <si>
    <t xml:space="preserve">FORETELLIX MODEL</t>
  </si>
  <si>
    <t xml:space="preserve">Each abstract scenario carries what a Foretellix V-Suite scenario carries: actors with roles, named phases (serial / parallel), parameters with constraints, coverage items with buckets, KPIs and checkers, and mixable modifiers. Public structure reference: Foretellix evaluation V-Suite docs (e.g. sut_cut_out, vehicle_cut_in). The OSC2 file 'LaneChange_Library.osc' gives the same scenarios as pseudo OpenSCENARIO DSL (not compiled).</t>
  </si>
  <si>
    <t xml:space="preserve">SLOT MODEL</t>
  </si>
  <si>
    <t xml:space="preserve">Actor positions follow the Torc Miro grid: A lead origin lane, B lead target lane, C follower origin lane, D follower target lane, E / F lane beyond target, G other-side lane, S shoulder, O static object. See sheet 'Actor Slots'.</t>
  </si>
  <si>
    <t xml:space="preserve">MIRO OBJECTIVES COVERED</t>
  </si>
  <si>
    <t xml:space="preserve">Wanted behavior specs and rules: column 'Wanted behavior (rule book)'.
Unwanted / unsafe behaviors: 'HIRE Traceability' (61 Highway Lane Change HARA) + columns 'Hazards', '# HIRE rows'.
External factors: 'Triggering conditions (TC-CRAWL)' + 'Modifiers'.
Internal factors: 'Functional insufficiencies (FI)'.
Internal factors along the task chain + KPIs on task I/O (solution independent): sheet 'Task Chain' (T1..T10). SOTIF team stops there; solution-dependent causes and KPIs are out of scope.</t>
  </si>
  <si>
    <t xml:space="preserve">SHEETS</t>
  </si>
  <si>
    <t xml:space="preserve">Library Tree: families and scenarios at a glance.
Scenario Catalogue: one row per abstract scenario (main sheet).
Actor Slots, Parameters (logical ranges with ODD source), KPIs &amp; Checkers, Task Chain, Modifiers.
HIRE Traceability: every Lane Change HARA row and the scenarios that exercise it.
Scenario x TC x FI: exploded join.
Coverage Stats: live counts (formulas).
Gaps &amp; Open Points.</t>
  </si>
  <si>
    <t xml:space="preserve">LINK RULES</t>
  </si>
  <si>
    <t xml:space="preserve">HIRE rows are linked to a scenario through their HAZOP 'Hazard Context' (the competency the scenario stresses). FIs are derived from the scenario's TCs through Full_Mapping_TC_FI_Hazard_Arch.xlsx. Hazards = union of linked HIRE hazards and TC hazards. HFS linked by key (see Gaps G-06).</t>
  </si>
  <si>
    <t xml:space="preserve">SOURCES</t>
  </si>
  <si>
    <t xml:space="preserve">Hazard Identification - HAZOP_ODD_v2.xlsx; 2026_SDT_HIRE_from_HAZOP_v1.xlsx; TCs list V3_1.xlsx; Full_Mapping_TC_FI_Hazard_Arch.xlsx; outputs/L1-L5_ODD_report_final.json (map 2026.06.09a); Behavior Table (Jama, M. Pittavino, 2026-03-21); Torc Miro 'Example Lane Change', 'Phase 1A / 1B', 'Concrete Scenario A / B'; Texas Transportation Code 545.053, 545.057, 545.060, 545.104, 545.157.</t>
  </si>
  <si>
    <t xml:space="preserve">STATUS</t>
  </si>
  <si>
    <t xml:space="preserve">All content PROPOSED by SERYTI for review by Torc Safety (Matthieu). No threshold is validated. Colour bands = scenario family. Orange family LC-OOD = [Out-of-ODD] events.</t>
  </si>
  <si>
    <t xml:space="preserve">Library tree: behavior &gt; family &gt; abstract scenario</t>
  </si>
  <si>
    <t xml:space="preserve">Same layout as a Foretellix V-Suite browsed by family.</t>
  </si>
  <si>
    <t xml:space="preserve">Level</t>
  </si>
  <si>
    <t xml:space="preserve">Family</t>
  </si>
  <si>
    <t xml:space="preserve">ID</t>
  </si>
  <si>
    <t xml:space="preserve">Scenario name (OSC2)</t>
  </si>
  <si>
    <t xml:space="preserve">Torc Miro ref</t>
  </si>
  <si>
    <t xml:space="preserve">Description</t>
  </si>
  <si>
    <t xml:space="preserve">ODD status</t>
  </si>
  <si>
    <t xml:space="preserve">LC-NOM</t>
  </si>
  <si>
    <t xml:space="preserve">Nominal discretionary lane change</t>
  </si>
  <si>
    <t xml:space="preserve">SDT changes lane because it wants to (overtake, lane preference). Torc Miro 'Abstract Scenario' and 'Concrete A' live here.</t>
  </si>
  <si>
    <t xml:space="preserve">  Scenario</t>
  </si>
  <si>
    <t xml:space="preserve">LC-NOM-01</t>
  </si>
  <si>
    <t xml:space="preserve">sut_lane_change_free_target_lane</t>
  </si>
  <si>
    <t xml:space="preserve">Miro 'Abstract Scenario'</t>
  </si>
  <si>
    <t xml:space="preserve">SDT changes lane into an empty target lane. Ego-only reference scenario.</t>
  </si>
  <si>
    <t xml:space="preserve">In-ODD</t>
  </si>
  <si>
    <t xml:space="preserve">LC-NOM-02</t>
  </si>
  <si>
    <t xml:space="preserve">sut_lane_change_into_gap_with_surrounding_traffic</t>
  </si>
  <si>
    <t xml:space="preserve">Miro 'Concrete Scenario A'</t>
  </si>
  <si>
    <t xml:space="preserve">SDT changes lane into the gap between B (ahead) and D (behind) in the target lane, with A and C in the origin lane. All actors keep their speed.</t>
  </si>
  <si>
    <t xml:space="preserve">LC-NOM-03</t>
  </si>
  <si>
    <t xml:space="preserve">sut_overtake_slow_lead</t>
  </si>
  <si>
    <t xml:space="preserve">A is slower than SDT in the origin lane. SDT changes lane, passes A, keeps the target lane or prepares to return.</t>
  </si>
  <si>
    <t xml:space="preserve">LC-NOM-04</t>
  </si>
  <si>
    <t xml:space="preserve">sut_return_lane_after_overtake</t>
  </si>
  <si>
    <t xml:space="preserve">After passing, SDT returns to the original lane in front of the overtaken vehicle, which is now C in the target lane.</t>
  </si>
  <si>
    <t xml:space="preserve">LC-TGT</t>
  </si>
  <si>
    <t xml:space="preserve">Conflicts in the target lane</t>
  </si>
  <si>
    <t xml:space="preserve">Something in or entering the target lane makes the gap unsafe: fast rear approach, competing merge (Miro Concrete B), closing gap, blind-spot actors.</t>
  </si>
  <si>
    <t xml:space="preserve">LC-TGT-01</t>
  </si>
  <si>
    <t xml:space="preserve">sut_lane_change_with_fast_rear_approach</t>
  </si>
  <si>
    <t xml:space="preserve">D approaches fast in the target lane while SDT prepares or starts the lane change.</t>
  </si>
  <si>
    <t xml:space="preserve">LC-TGT-02</t>
  </si>
  <si>
    <t xml:space="preserve">sut_lane_change_with_simultaneous_merge_from_far_lane</t>
  </si>
  <si>
    <t xml:space="preserve">Miro 'Concrete Scenario B' (vehicle E)</t>
  </si>
  <si>
    <t xml:space="preserve">While SDT changes into the target lane, E in the lane beyond the target lane also changes into the same target lane.</t>
  </si>
  <si>
    <t xml:space="preserve">LC-TGT-03</t>
  </si>
  <si>
    <t xml:space="preserve">sut_lane_change_with_closing_gap</t>
  </si>
  <si>
    <t xml:space="preserve">D accelerates to close the gap while SDT signals or starts the lane change (non-cooperative driver).</t>
  </si>
  <si>
    <t xml:space="preserve">LC-TGT-04</t>
  </si>
  <si>
    <t xml:space="preserve">sut_lane_change_with_target_lead_braking</t>
  </si>
  <si>
    <t xml:space="preserve">B brakes while SDT is moving into the target lane behind it.</t>
  </si>
  <si>
    <t xml:space="preserve">LC-TGT-05</t>
  </si>
  <si>
    <t xml:space="preserve">sut_lane_change_with_vehicle_alongside_trailer</t>
  </si>
  <si>
    <t xml:space="preserve">A vehicle travels alongside the SDT trailer in the target lane (D overlapping the combination), partly in the trailer blind zone.</t>
  </si>
  <si>
    <t xml:space="preserve">LC-TGT-06</t>
  </si>
  <si>
    <t xml:space="preserve">sut_lane_change_with_motorcycle_in_blind_spot</t>
  </si>
  <si>
    <t xml:space="preserve">A motorcycle is in the target lane in the SDT blind zone or lane-splitting.</t>
  </si>
  <si>
    <t xml:space="preserve">LC-TGT-07</t>
  </si>
  <si>
    <t xml:space="preserve">sut_lane_change_next_to_large_or_unstable_vehicle</t>
  </si>
  <si>
    <t xml:space="preserve">Target lane contains a wide load or a truck with a swaying trailer next to the gap.</t>
  </si>
  <si>
    <t xml:space="preserve">LC-CUR</t>
  </si>
  <si>
    <t xml:space="preserve">Events in the origin lane during the lane change</t>
  </si>
  <si>
    <t xml:space="preserve">A or C changes the situation while SDT is preparing or executing.</t>
  </si>
  <si>
    <t xml:space="preserve">LC-CUR-01</t>
  </si>
  <si>
    <t xml:space="preserve">sut_lane_change_with_origin_lead_braking</t>
  </si>
  <si>
    <t xml:space="preserve">A brakes while SDT is preparing or executing the lane change.</t>
  </si>
  <si>
    <t xml:space="preserve">LC-CUR-02</t>
  </si>
  <si>
    <t xml:space="preserve">sut_evasive_lane_change_after_lead_cut_out</t>
  </si>
  <si>
    <t xml:space="preserve">A cuts out and reveals a stopped vehicle or obstacle in the origin lane; SDT must change lane or stop.</t>
  </si>
  <si>
    <t xml:space="preserve">In-ODD (stopped vehicle in lane: Out-of-ODD when disabled vehicle)</t>
  </si>
  <si>
    <t xml:space="preserve">LC-CUR-03</t>
  </si>
  <si>
    <t xml:space="preserve">sut_lane_change_with_tailgating_follower</t>
  </si>
  <si>
    <t xml:space="preserve">C follows very close behind SDT in the origin lane while SDT prepares a lane change that needs speed adjustment.</t>
  </si>
  <si>
    <t xml:space="preserve">LC-RD</t>
  </si>
  <si>
    <t xml:space="preserve">Road-structure driven lane change</t>
  </si>
  <si>
    <t xml:space="preserve">Lane drop, work zone, weave, exit, merge courtesy, degraded markings, curve / grade, map mismatch. Often mandatory with a deadline.</t>
  </si>
  <si>
    <t xml:space="preserve">LC-RD-01</t>
  </si>
  <si>
    <t xml:space="preserve">sut_mandatory_lane_change_lane_drop</t>
  </si>
  <si>
    <t xml:space="preserve">The origin lane ends (lane drop / lane ends) and SDT must merge into the adjacent lane with traffic.</t>
  </si>
  <si>
    <t xml:space="preserve">LC-RD-02</t>
  </si>
  <si>
    <t xml:space="preserve">sut_lane_change_in_work_zone_lane_closure</t>
  </si>
  <si>
    <t xml:space="preserve">Work zone closes a lane with channelizing devices; SDT must merge and follow shifted / temporary lanes.</t>
  </si>
  <si>
    <t xml:space="preserve">In-ODD (Work Zones element present, no values in HD map yet)</t>
  </si>
  <si>
    <t xml:space="preserve">LC-RD-03</t>
  </si>
  <si>
    <t xml:space="preserve">sut_lane_change_in_weave_section</t>
  </si>
  <si>
    <t xml:space="preserve">SDT changes lane in a weave section between an on-ramp and an off-ramp with many crossing lane changes.</t>
  </si>
  <si>
    <t xml:space="preserve">LC-RD-04</t>
  </si>
  <si>
    <t xml:space="preserve">sut_mandatory_lane_change_for_exit</t>
  </si>
  <si>
    <t xml:space="preserve">SDT must reach the exit lane before the exit; sign may be missed or obscured.</t>
  </si>
  <si>
    <t xml:space="preserve">LC-RD-05</t>
  </si>
  <si>
    <t xml:space="preserve">sut_lane_change_to_yield_to_merging_traffic</t>
  </si>
  <si>
    <t xml:space="preserve">Vehicles enter from an on-ramp next to SDT; SDT moves over to let them merge (courtesy).</t>
  </si>
  <si>
    <t xml:space="preserve">LC-RD-06</t>
  </si>
  <si>
    <t xml:space="preserve">sut_lane_change_with_degraded_lane_markings</t>
  </si>
  <si>
    <t xml:space="preserve">Boundary between origin and target lane is faded, missing, double-exposed or misleading.</t>
  </si>
  <si>
    <t xml:space="preserve">LC-RD-07</t>
  </si>
  <si>
    <t xml:space="preserve">sut_lane_change_on_curve_or_grade</t>
  </si>
  <si>
    <t xml:space="preserve">Lane change on a curve, crest or steep grade where sight distance and stability margins are reduced.</t>
  </si>
  <si>
    <t xml:space="preserve">LC-RD-08</t>
  </si>
  <si>
    <t xml:space="preserve">sut_lane_change_with_map_lane_mismatch</t>
  </si>
  <si>
    <t xml:space="preserve">Map and reality disagree on lane count or lane availability (recent restriping, added lane not in map).</t>
  </si>
  <si>
    <t xml:space="preserve">LC-ABT</t>
  </si>
  <si>
    <t xml:space="preserve">Abort and fallback during lane change</t>
  </si>
  <si>
    <t xml:space="preserve">SDT must return to the origin lane or hand over to MRM mid-maneuver. Link to the September MRM scope.</t>
  </si>
  <si>
    <t xml:space="preserve">LC-ABT-01</t>
  </si>
  <si>
    <t xml:space="preserve">sut_lane_change_abort_and_return</t>
  </si>
  <si>
    <t xml:space="preserve">A trigger (D accelerates, E merges, B brakes) appears after lateral motion started; SDT returns to the origin lane.</t>
  </si>
  <si>
    <t xml:space="preserve">LC-ABT-02</t>
  </si>
  <si>
    <t xml:space="preserve">sut_lane_change_interrupted_by_ddt_fallback</t>
  </si>
  <si>
    <t xml:space="preserve">A system degradation requires MRM while SDT is mid lane change.</t>
  </si>
  <si>
    <t xml:space="preserve">LC-OOD</t>
  </si>
  <si>
    <t xml:space="preserve">Out-of-ODD events requiring a lane change</t>
  </si>
  <si>
    <t xml:space="preserve">Move-over for EMV, stopped vehicle, FOD, crash scene. Tagged [Out-of-ODD] where the element is not a validated ODD element.</t>
  </si>
  <si>
    <t xml:space="preserve">LC-OOD-01</t>
  </si>
  <si>
    <t xml:space="preserve">sut_move_over_for_stopped_emv_on_shoulder</t>
  </si>
  <si>
    <t xml:space="preserve">Stopped EMV, police, TxDOT or tow vehicle with lights on the shoulder; SDT vacates the adjacent lane or slows.</t>
  </si>
  <si>
    <t xml:space="preserve">[Out-of-ODD] (EMV dynamics NA in Jama L4)</t>
  </si>
  <si>
    <t xml:space="preserve">LC-OOD-02</t>
  </si>
  <si>
    <t xml:space="preserve">sut_yield_lane_to_approaching_emv</t>
  </si>
  <si>
    <t xml:space="preserve">EMV with lights / siren approaches from behind in SDT lane; SDT moves over to let it pass.</t>
  </si>
  <si>
    <t xml:space="preserve">[Out-of-ODD]</t>
  </si>
  <si>
    <t xml:space="preserve">LC-OOD-03</t>
  </si>
  <si>
    <t xml:space="preserve">sut_lane_change_with_object_in_target_lane</t>
  </si>
  <si>
    <t xml:space="preserve">FOD, lost cargo or an unusual object lies in the target lane at or after the planned merge point.</t>
  </si>
  <si>
    <t xml:space="preserve">In-ODD (FOD) / [Out-of-ODD] (lost cargo)</t>
  </si>
  <si>
    <t xml:space="preserve">LC-OOD-04</t>
  </si>
  <si>
    <t xml:space="preserve">sut_lane_change_at_crash_scene</t>
  </si>
  <si>
    <t xml:space="preserve">Crash scene ahead with responders on foot, emergency lighting, debris and improvised lane closure.</t>
  </si>
  <si>
    <t xml:space="preserve">Scenario Catalogue: abstract scenarios for Lane Change (Foretellix style)</t>
  </si>
  <si>
    <t xml:space="preserve">One row = one abstract scenario. Parameters stay symbolic here; logical ranges in 'Parameters'. Wrap is on: widen rows to read.</t>
  </si>
  <si>
    <t xml:space="preserve">LC type</t>
  </si>
  <si>
    <t xml:space="preserve">Side</t>
  </si>
  <si>
    <t xml:space="preserve">Actors (slot: role, action)</t>
  </si>
  <si>
    <t xml:space="preserve">Phases</t>
  </si>
  <si>
    <t xml:space="preserve">Static ODD elements</t>
  </si>
  <si>
    <t xml:space="preserve">Key parameters (symbolic)</t>
  </si>
  <si>
    <t xml:space="preserve">Variants</t>
  </si>
  <si>
    <t xml:space="preserve">Wanted behavior (rule book)</t>
  </si>
  <si>
    <t xml:space="preserve">Tasks needed (see Task Chain)</t>
  </si>
  <si>
    <t xml:space="preserve">Coverage items [range, bucket]</t>
  </si>
  <si>
    <t xml:space="preserve">KPIs &amp; checkers</t>
  </si>
  <si>
    <t xml:space="preserve">Compatible modifiers</t>
  </si>
  <si>
    <t xml:space="preserve">Hazard contexts stressed</t>
  </si>
  <si>
    <t xml:space="preserve"># HIRE rows linked</t>
  </si>
  <si>
    <t xml:space="preserve">Unwanted behaviors (HIRE malfunctions)</t>
  </si>
  <si>
    <t xml:space="preserve">Hazards</t>
  </si>
  <si>
    <t xml:space="preserve">HFS (key)</t>
  </si>
  <si>
    <t xml:space="preserve">Triggering conditions (TC-CRAWL)</t>
  </si>
  <si>
    <t xml:space="preserve">Functional insufficiencies (FI)</t>
  </si>
  <si>
    <t xml:space="preserve">Suggested test environment</t>
  </si>
  <si>
    <t xml:space="preserve">Public Foretellix analog</t>
  </si>
  <si>
    <t xml:space="preserve">Status</t>
  </si>
  <si>
    <t xml:space="preserve">Discretionary</t>
  </si>
  <si>
    <t xml:space="preserve">left / right</t>
  </si>
  <si>
    <t xml:space="preserve">none</t>
  </si>
  <si>
    <t xml:space="preserve">init_drive &gt; signal &gt; change_lane &gt; post_phase</t>
  </si>
  <si>
    <t xml:space="preserve">Lane Count &gt;= 2 (TORC-ODD-356); dashed boundary (TORC-FLD-1588); Lane Width (TORC-ODD-76)</t>
  </si>
  <si>
    <t xml:space="preserve">sdt_speed, lc_side, lane_count, origin_lane_index, lane_width, curvature, grade</t>
  </si>
  <si>
    <t xml:space="preserve">left vs right; middle lane start</t>
  </si>
  <si>
    <t xml:space="preserve">Signal before lateral motion and keep it until completed; move only across a dashed boundary; smooth lateral profile within comfort limits; center in target lane and cancel signal.</t>
  </si>
  <si>
    <t xml:space="preserve">T2, T4, T6, T7, T9, T10</t>
  </si>
  <si>
    <t xml:space="preserve">sdt_speed_at_change_lane [45..75 mph, 5 mph]; lc_side [left, right]; lane_count [2,3,4]; lc_duration [0..10 s, 1 s]; signal_lead_time [0..5 s, 0.5 s]</t>
  </si>
  <si>
    <t xml:space="preserve">K-SAF-01, K-SAF-07, K-CMP-01, K-CMP-03, K-EFF-02, K-CRT-01</t>
  </si>
  <si>
    <t xml:space="preserve">M-01, M-03, M-04, M-05, M-08, M-09, M-10</t>
  </si>
  <si>
    <t xml:space="preserve">Lane keeping / route guidance, Signal intent for maneuver, Misleading signal (not needed), Vehicle stability</t>
  </si>
  <si>
    <t xml:space="preserve">Excessive Acceleration, Excessive Deceleration, Excessive Steering, Insufficient Acceleration, Insufficient Deceleration, Insufficient Steering, No Deceleration, No Steering, No Turn Signal, Steering for too long / stuck, Steering in opposite direction, Turn Signal in opposite direction, Turn Signal too late, Unintended Acceleration, Unintended Deceleration, Unintended Steering, Unintended Turn Signal</t>
  </si>
  <si>
    <t xml:space="preserve">H1, H4, H5</t>
  </si>
  <si>
    <t xml:space="preserve">Highway x Lane Changes / Overtaking x H1; Highway x Lane Changes / Overtaking x H4; Highway x Lane Changes / Overtaking x H5</t>
  </si>
  <si>
    <t xml:space="preserve">TC-CRAWL-055: Missing lane marking
TC-CRAWL-060: damaged lane markings
TC-CRAWL-067: Worn/faded broken white line
TC-CRAWL-068: Irregular dash spacing (misread as solid line)
TC-CRAWL-225: crosswing
TC-CRAWL-227: high wind gust</t>
  </si>
  <si>
    <t xml:space="preserve">FI-PCP-01: Lane markings not detected (no lane data provided to VI).
FI-PCP-02: Lane markings detected with insufficient precision or inconsistent performance.
FI-PCP-05: False positive lanes accepted (fake / shadow / skid-mark lanes).
FI-PCP-10: Incorrect object classification (incl. EMV not recognized / non-EMV taken for EMV).
FI-PCP-14: Traffic sign / signal not detected or misclassified (incl. temporary signage).
FI-PCP-17: Degradation under specific environmental conditions not compensated (rain, fog, night, glare, shadows, low contrast).
FI-SEN-02: Sensor data of insufficient quality (resolution, SNR, range) for the downstream task.
FI-VI-07: Incorrect assumption on own capability envelope (braking / steering limits vs load, adhesion, grade).</t>
  </si>
  <si>
    <t xml:space="preserve">Simulation, then track</t>
  </si>
  <si>
    <t xml:space="preserve">sut_cut_out (public Foretellix evaluation scenario: ego leaves lane behind a lead) is the closest analog with a lead added</t>
  </si>
  <si>
    <t xml:space="preserve">PROPOSED</t>
  </si>
  <si>
    <t xml:space="preserve">A: lead origin lane, constant speed; B: lead target lane, constant speed; C: follower origin lane, constant speed; D: follower target lane, constant speed</t>
  </si>
  <si>
    <t xml:space="preserve">Lane Count &gt;= 2 (TORC-ODD-356); dashed boundary (TORC-FLD-1588)</t>
  </si>
  <si>
    <t xml:space="preserve">sdt_speed, lc_side, front_gap_target_lane, rear_gap_target_lane, actor_speed_rel_to_sdt (B, D), actor_kind</t>
  </si>
  <si>
    <t xml:space="preserve">Gap size small / medium / large; D slower / same / faster than SDT</t>
  </si>
  <si>
    <t xml:space="preserve">Accept the gap only if front gap to B and rear gap to D are above thresholds that depend on speed and relative speed, and D does not need to brake hard. Otherwise wait, adjust speed to align with a better gap, or stay.</t>
  </si>
  <si>
    <t xml:space="preserve">T1, T3, T5, T6, T7, T8, T9, T10</t>
  </si>
  <si>
    <t xml:space="preserve">front_gap_target_lane [0..6 s, 0.5 s]; rear_gap_target_lane [0..6 s, 0.5 s]; rel_speed_D [-20..+30 mph, 5 mph]; lc_side; actor_kind(D); cross: rear_gap x rel_speed_D</t>
  </si>
  <si>
    <t xml:space="preserve">K-SAF-01, K-SAF-02, K-SAF-04, K-SAF-05, K-SAF-06, K-CMP-01, K-CMP-02, K-EFF-01, K-CRT-02</t>
  </si>
  <si>
    <t xml:space="preserve">M-01, M-02, M-04, M-05, M-06, M-11</t>
  </si>
  <si>
    <t xml:space="preserve">Longitudinal speed, Longitudinal gap, Lateral clearance, Signal intent for maneuver, Lateral control / stay-in-lane</t>
  </si>
  <si>
    <t xml:space="preserve">Excessive Acceleration, Excessive Deceleration, Excessive Steering, Insufficient Acceleration, Insufficient Deceleration, Insufficient Steering, No Acceleration, No Deceleration, No Steering, No Turn Signal, Steering for too long / stuck, Steering in opposite direction, Turn Signal in opposite direction, Turn Signal too late, Unintended Acceleration, Unintended Deceleration, Unintended Steering, Unintended Turn Signal</t>
  </si>
  <si>
    <t xml:space="preserve">H1, H2, H3, H4</t>
  </si>
  <si>
    <t xml:space="preserve">Highway x Lane Changes / Overtaking x H1; Highway x Lane Changes / Overtaking x H2; Highway x Lane Changes / Overtaking x H3; Highway x Lane Changes / Overtaking x H4</t>
  </si>
  <si>
    <t xml:space="preserve">TC-CRAWL-168: Vehicle with color with low contrast to environment
TC-CRAWL-169: Vehicle with low reflectivity
TC-CRAWL-173: Too many vehicles / Dense traffic
TC-CRAWL-186: Vehicle partially occluded by another vehicle
TC-CRAWL-176: Following too close</t>
  </si>
  <si>
    <t xml:space="preserve">FI-PCP-06: Actor / object not detected (OMV, VRU, static obstacle missed).
FI-PCP-08: Incorrect actor position (adjacent / opposite / crossing).
FI-PCP-09: Incorrect actor velocity (longitudinal / lateral).
FI-PCP-12: Unstable / intermittent detection under intermittent occlusion.
FI-PCP-17: Degradation under specific environmental conditions not compensated (rain, fog, night, glare, shadows, low contrast).
FI-VI-04: Wrong prediction of other actor motion / intent (adjacent, opposite, VRU).
FI-VI-06: Replanning too late for a dynamic change (cut-in, intrusion, lane shift).</t>
  </si>
  <si>
    <t xml:space="preserve">Simulation; public road with Torc lead (B) and chase (D) vehicles</t>
  </si>
  <si>
    <t xml:space="preserve">sut_cut_out family with target-lane actors added</t>
  </si>
  <si>
    <t xml:space="preserve">Discretionary (efficiency)</t>
  </si>
  <si>
    <t xml:space="preserve">left (typical)</t>
  </si>
  <si>
    <t xml:space="preserve">A: slow lead origin lane; B, D optional in target lane</t>
  </si>
  <si>
    <t xml:space="preserve">approach_slow_lead &gt; signal &gt; change_lane &gt; pass &gt; post_phase</t>
  </si>
  <si>
    <t xml:space="preserve">Lane Count &gt;= 2; left-lane-for-passing signage where present (TC-CRAWL-134)</t>
  </si>
  <si>
    <t xml:space="preserve">sdt_speed, actor_speed_rel_to_sdt (A: -25..-5 mph), distance_to_A_at_decision, front_gap_target_lane, rear_gap_target_lane</t>
  </si>
  <si>
    <t xml:space="preserve">A is a car / truck / wide load; target lane busy or free</t>
  </si>
  <si>
    <t xml:space="preserve">Decide to overtake early enough to avoid hard braking behind A; pass at a safe lateral distance; do not overtake where prohibited.</t>
  </si>
  <si>
    <t xml:space="preserve">T1, T3, T4, T5, T6, T7, T8, T9, T10</t>
  </si>
  <si>
    <t xml:space="preserve">rel_speed_A [-25..-5 mph, 5 mph]; distance_to_A_at_decision [20..200 m, 20 m]; actor_kind(A)</t>
  </si>
  <si>
    <t xml:space="preserve">K-SAF-01, K-SAF-02, K-SAF-04, K-CMP-01, K-EFF-01, K-EFF-04</t>
  </si>
  <si>
    <t xml:space="preserve">M-01, M-02, M-03, M-06, M-11</t>
  </si>
  <si>
    <t xml:space="preserve">Longitudinal speed, Longitudinal gap, Lateral clearance</t>
  </si>
  <si>
    <t xml:space="preserve">Excessive Acceleration, Excessive Deceleration, Excessive Steering, Insufficient Acceleration, Insufficient Deceleration, Insufficient Steering, No Acceleration, No Deceleration, No Steering, Steering for too long / stuck, Steering in opposite direction, Unintended Acceleration, Unintended Deceleration, Unintended Steering</t>
  </si>
  <si>
    <t xml:space="preserve">H1, H2, H3, H5, H6</t>
  </si>
  <si>
    <t xml:space="preserve">Highway x Lane Changes / Overtaking x H1; Highway x Lane Changes / Overtaking x H2; Highway x Lane Changes / Overtaking x H3</t>
  </si>
  <si>
    <t xml:space="preserve">TC-CRAWL-134: Sign missed leading to incorrect lane-use assumption
TC-CRAWL-187: Large vehicle configuration
TC-CRAWL-189: Wide-Load vehicle
TC-CRAWL-192: Trailer swerving/swaying</t>
  </si>
  <si>
    <t xml:space="preserve">FI-PCP-06: Actor / object not detected (OMV, VRU, static obstacle missed).
FI-PCP-08: Incorrect actor position (adjacent / opposite / crossing).
FI-PCP-09: Incorrect actor velocity (longitudinal / lateral).
FI-PCP-14: Traffic sign / signal not detected or misclassified (incl. temporary signage).
FI-VI-04: Wrong prediction of other actor motion / intent (adjacent, opposite, VRU).
FI-VI-06: Replanning too late for a dynamic change (cut-in, intrusion, lane shift).</t>
  </si>
  <si>
    <t xml:space="preserve">Simulation; track</t>
  </si>
  <si>
    <t xml:space="preserve">Lead-vehicle family composed with sut_cut_out (lead-vehicle scenario name not verified)</t>
  </si>
  <si>
    <t xml:space="preserve">right (typical)</t>
  </si>
  <si>
    <t xml:space="preserve">D (former A): overtaken vehicle, now behind in the target lane; B optional</t>
  </si>
  <si>
    <t xml:space="preserve">pass &gt; signal &gt; change_lane_back &gt; post_phase</t>
  </si>
  <si>
    <t xml:space="preserve">Lane Count &gt;= 2</t>
  </si>
  <si>
    <t xml:space="preserve">rear_gap_target_lane (to overtaken vehicle), actor_speed_rel_to_sdt, trailer length</t>
  </si>
  <si>
    <t xml:space="preserve">Overtaken vehicle accelerates while being passed</t>
  </si>
  <si>
    <t xml:space="preserve">Return only when the full combination (tractor and trailer) is clear of the overtaken vehicle with a rear gap above threshold (TX TRC 545.053).</t>
  </si>
  <si>
    <t xml:space="preserve">T1, T3, T5, T6, T7, T9, T10</t>
  </si>
  <si>
    <t xml:space="preserve">rear_gap_target_lane [0..6 s, 0.5 s]; rel_speed_overtaken [-10..+10 mph]</t>
  </si>
  <si>
    <t xml:space="preserve">K-SAF-01, K-SAF-05, K-CMP-05, K-CRT-02</t>
  </si>
  <si>
    <t xml:space="preserve">M-01, M-02, M-05, M-10</t>
  </si>
  <si>
    <t xml:space="preserve">Longitudinal gap, Lateral clearance, Misleading signal (not needed)</t>
  </si>
  <si>
    <t xml:space="preserve">H1, H2, H3</t>
  </si>
  <si>
    <t xml:space="preserve">TC-CRAWL-014: Sensor field-of-view obstruction by cargo/mount
TC-CRAWL-176: Following too close
TC-CRAWL-186: Vehicle partially occluded by another vehicle</t>
  </si>
  <si>
    <t xml:space="preserve">FI-PCP-06: Actor / object not detected (OMV, VRU, static obstacle missed).
FI-PCP-08: Incorrect actor position (adjacent / opposite / crossing).
FI-PCP-09: Incorrect actor velocity (longitudinal / lateral).
FI-PCP-12: Unstable / intermittent detection under intermittent occlusion.
FI-PCP-16: Incorrect trailer position / configuration (or trailer in wrong coordinate frame).
FI-VI-04: Wrong prediction of other actor motion / intent (adjacent, opposite, VRU).
FI-VI-06: Replanning too late for a dynamic change (cut-in, intrusion, lane shift).
FI-VI-07: Incorrect assumption on own capability envelope (braking / steering limits vs load, adhesion, grade).</t>
  </si>
  <si>
    <t xml:space="preserve">Reverse of sut_cut_out (ego returns in front of a vehicle); no public library name verified</t>
  </si>
  <si>
    <t xml:space="preserve">D: follower target lane, closing fast; B optional</t>
  </si>
  <si>
    <t xml:space="preserve">rear_closing_speed, rear_gap_target_lane, sdt_speed, actor_kind(D), D appears during prepare vs execute phase</t>
  </si>
  <si>
    <t xml:space="preserve">D visible early / D emerges from occlusion behind C</t>
  </si>
  <si>
    <t xml:space="preserve">Do not start if D would have to brake above threshold; if already started, abort and return when safer than continuing.</t>
  </si>
  <si>
    <t xml:space="preserve">T1, T3, T5, T8</t>
  </si>
  <si>
    <t xml:space="preserve">rear_closing_speed [0..30 mph, 5 mph]; rear_gap_target_lane [0..6 s, 0.5 s]; phase_at_detection [prepare, early execute, late execute]</t>
  </si>
  <si>
    <t xml:space="preserve">K-SAF-01, K-SAF-02, K-SAF-05, K-SAF-08, K-CMP-02</t>
  </si>
  <si>
    <t xml:space="preserve">M-01, M-02, M-04, M-05, M-06, M-10, M-11</t>
  </si>
  <si>
    <t xml:space="preserve">Longitudinal gap, Longitudinal speed, Lateral clearance</t>
  </si>
  <si>
    <t xml:space="preserve">TC-CRAWL-179: Too Fast
TC-CRAWL-175: Aggressive Behavior
TC-CRAWL-186: Vehicle partially occluded by another vehicle
TC-CRAWL-169: Vehicle with low reflectivity</t>
  </si>
  <si>
    <t xml:space="preserve">left / right (requires lane_count &gt;= 3)</t>
  </si>
  <si>
    <t xml:space="preserve">E: far-lane vehicle, starts lane change into target lane; A, B, C, D as in NOM-02; F optional</t>
  </si>
  <si>
    <t xml:space="preserve">init_drive &gt; signal &gt; change_lane (SDT) || change_lane (E) &gt; resolve &gt; post_phase</t>
  </si>
  <si>
    <t xml:space="preserve">Lane Count &gt;= 3 (TORC-ODD-356: 46.6% of miles)</t>
  </si>
  <si>
    <t xml:space="preserve">actor_lc_start_time_rel_to_sdt (E), E longitudinal offset to SDT, actor_speed_rel_to_sdt (E), actor_lateral_speed (E), E signals or not</t>
  </si>
  <si>
    <t xml:space="preserve">Miro: E1 holds velocity equal to SDT (side by side); E2 accelerates forward. Added: E3 decelerates, E4 no turn signal</t>
  </si>
  <si>
    <t xml:space="preserve">Detect E's intent (signal, lateral drift) early; if conflict, hold or abort and return; never complete the lane change into a space E is entering.</t>
  </si>
  <si>
    <t xml:space="preserve">E_lc_start_rel_to_sdt [-2..+3 s, 0.5 s]; E_long_offset [-30..+30 m, 5 m]; E_rel_speed [-10..+15 mph]; E_signal [yes, no]; cross: E_offset x E_rel_speed</t>
  </si>
  <si>
    <t xml:space="preserve">K-SAF-01, K-SAF-02, K-SAF-04, K-SAF-08, K-CMP-02</t>
  </si>
  <si>
    <t xml:space="preserve">M-02, M-04, M-05, M-06, M-11</t>
  </si>
  <si>
    <t xml:space="preserve">Lateral clearance, Lane keeping / route guidance, Signal intent for maneuver</t>
  </si>
  <si>
    <t xml:space="preserve">Excessive Steering, Insufficient Steering, No Steering, No Turn Signal, Steering for too long / stuck, Steering in opposite direction, Turn Signal in opposite direction, Turn Signal too late, Unintended Steering, Unintended Turn Signal</t>
  </si>
  <si>
    <t xml:space="preserve">Highway x Lane Changes / Overtaking x H1; Highway x Lane Changes / Overtaking x H4</t>
  </si>
  <si>
    <t xml:space="preserve">TC-CRAWL-171: Vehicle moving out of lane
TC-CRAWL-175: Aggressive Behavior
TC-CRAWL-181: Erratic Behavior
TC-CRAWL-184: Turn signal washed out by glare / burnt-out bulb
TC-CRAWL-186: Vehicle partially occluded by another vehicle</t>
  </si>
  <si>
    <t xml:space="preserve">Simulation; public road with Torc lead (B), chase (D) and a controlled E (Miro Concrete B)</t>
  </si>
  <si>
    <t xml:space="preserve">vehicle_cut_in (E cutting toward SDT lane) composed with sut_cut_out</t>
  </si>
  <si>
    <t xml:space="preserve">D: follower target lane, accelerates after SDT signal; B constant</t>
  </si>
  <si>
    <t xml:space="preserve">D acceleration [0.5..3 m/s2], D reaction delay to SDT signal [0..3 s], rear_gap_target_lane</t>
  </si>
  <si>
    <t xml:space="preserve">D accelerates during signal phase / during lateral motion</t>
  </si>
  <si>
    <t xml:space="preserve">Re-evaluate the gap continuously; abort or delay; do not force D to brake.</t>
  </si>
  <si>
    <t xml:space="preserve">T3, T5, T8</t>
  </si>
  <si>
    <t xml:space="preserve">D_accel [0.5..3 m/s2]; D_reaction_delay [0..3 s]; phase_at_trigger</t>
  </si>
  <si>
    <t xml:space="preserve">K-SAF-01, K-SAF-05, K-SAF-08, K-EFF-03</t>
  </si>
  <si>
    <t xml:space="preserve">M-06</t>
  </si>
  <si>
    <t xml:space="preserve">Longitudinal gap, Lateral clearance</t>
  </si>
  <si>
    <t xml:space="preserve">TC-CRAWL-175: Aggressive Behavior
TC-CRAWL-176: Following too close</t>
  </si>
  <si>
    <t xml:space="preserve">FI-PCP-06: Actor / object not detected (OMV, VRU, static obstacle missed).
FI-PCP-08: Incorrect actor position (adjacent / opposite / crossing).
FI-PCP-09: Incorrect actor velocity (longitudinal / lateral).
FI-VI-04: Wrong prediction of other actor motion / intent (adjacent, opposite, VRU).
FI-VI-06: Replanning too late for a dynamic change (cut-in, intrusion, lane shift).</t>
  </si>
  <si>
    <t xml:space="preserve">Simulation</t>
  </si>
  <si>
    <t xml:space="preserve">B: lead target lane, brakes; D behind</t>
  </si>
  <si>
    <t xml:space="preserve">init_drive &gt; change_lane &gt; B_brake &gt; post_phase</t>
  </si>
  <si>
    <t xml:space="preserve">actor_long_decel (B), front_gap_target_lane, phase_at_trigger</t>
  </si>
  <si>
    <t xml:space="preserve">B brakes mildly / hard; D close behind (no room to brake hard)</t>
  </si>
  <si>
    <t xml:space="preserve">Keep a safe gap to B while finishing or aborting; manage braking with D behind (H3 risk).</t>
  </si>
  <si>
    <t xml:space="preserve">T1, T3, T8, T9</t>
  </si>
  <si>
    <t xml:space="preserve">B_decel [1..8 m/s2, 1]; front_gap_target_lane; rear_gap_target_lane; phase_at_trigger</t>
  </si>
  <si>
    <t xml:space="preserve">K-SAF-01, K-SAF-02, K-SAF-06, K-SAF-08</t>
  </si>
  <si>
    <t xml:space="preserve">M-01, M-04, M-05, M-09</t>
  </si>
  <si>
    <t xml:space="preserve">Longitudinal speed, Longitudinal gap</t>
  </si>
  <si>
    <t xml:space="preserve">Excessive Acceleration, Excessive Deceleration, Insufficient Acceleration, Insufficient Deceleration, No Acceleration, No Deceleration, Unintended Acceleration, Unintended Deceleration</t>
  </si>
  <si>
    <t xml:space="preserve">H1, H2, H3, H5</t>
  </si>
  <si>
    <t xml:space="preserve">Highway x Lane Changes / Overtaking x H2; Highway x Lane Changes / Overtaking x H3</t>
  </si>
  <si>
    <t xml:space="preserve">TC-CRAWL-185: Brake lights vs. hazard lights misclassified
TC-CRAWL-176: Following too close
TC-CRAWL-039: Downhill grade increasing stopping distance</t>
  </si>
  <si>
    <t xml:space="preserve">FI-PCP-04: Incorrect lane position / geometry estimate delivered (lateral position, curvature).
FI-PCP-06: Actor / object not detected (OMV, VRU, static obstacle missed).
FI-PCP-08: Incorrect actor position (adjacent / opposite / crossing).
FI-PCP-09: Incorrect actor velocity (longitudinal / lateral).
FI-VI-01: Plans trajectory following an incorrect ego lane (propagates FI-PCP-04 / FI-LOC-05).
FI-VI-04: Wrong prediction of other actor motion / intent (adjacent, opposite, VRU).
FI-VI-06: Replanning too late for a dynamic change (cut-in, intrusion, lane shift).
FI-VI-07: Incorrect assumption on own capability envelope (braking / steering limits vs load, adhesion, grade).</t>
  </si>
  <si>
    <t xml:space="preserve">Lead-vehicle braking composed with sut_cut_out (name not verified)</t>
  </si>
  <si>
    <t xml:space="preserve">D: in target lane overlapping trailer length</t>
  </si>
  <si>
    <t xml:space="preserve">D longitudinal position along trailer [-25..+5 m from tractor front], actor_speed_rel_to_sdt (D), actor_kind(D)</t>
  </si>
  <si>
    <t xml:space="preserve">D lingers alongside / slowly passing / slowly falling back</t>
  </si>
  <si>
    <t xml:space="preserve">Target lane must be clear over the whole combination length plus margins before any lateral motion.</t>
  </si>
  <si>
    <t xml:space="preserve">T1, T5, T7</t>
  </si>
  <si>
    <t xml:space="preserve">D_long_position_along_trailer [-25..+5 m, 2.5 m]; D_rel_speed [-5..+5 mph]; actor_kind(D)</t>
  </si>
  <si>
    <t xml:space="preserve">K-SAF-01, K-SAF-04, K-CMP-02</t>
  </si>
  <si>
    <t xml:space="preserve">M-01, M-02, M-05, M-10, M-11</t>
  </si>
  <si>
    <t xml:space="preserve">Lateral clearance, Lateral control / stay-in-lane</t>
  </si>
  <si>
    <t xml:space="preserve">TC-CRAWL-014: Sensor field-of-view obstruction by cargo/mount
TC-CRAWL-186: Vehicle partially occluded by another vehicle
TC-CRAWL-193: Flat trailer side blending with sky/background (under-detection)
TC-CRAWL-012: Dirty/occluded sensor lens</t>
  </si>
  <si>
    <t xml:space="preserve">FI-PCP-06: Actor / object not detected (OMV, VRU, static obstacle missed).
FI-PCP-08: Incorrect actor position (adjacent / opposite / crossing).
FI-PCP-09: Incorrect actor velocity (longitudinal / lateral).
FI-PCP-12: Unstable / intermittent detection under intermittent occlusion.
FI-PCP-16: Incorrect trailer position / configuration (or trailer in wrong coordinate frame).
FI-PCP-17: Degradation under specific environmental conditions not compensated (rain, fog, night, glare, shadows, low contrast).
FI-SEN-03: Sensor configuration / calibration incorrect (wrong parameters, drift).
FI-SEN-04: Sensor mounting misaligned / data in unexpected coordinate frame (incl. factory mispositioning).
FI-VI-04: Wrong prediction of other actor motion / intent (adjacent, opposite, VRU).
FI-VI-06: Replanning too late for a dynamic change (cut-in, intrusion, lane shift).
FI-VI-07: Incorrect assumption on own capability envelope (braking / steering limits vs load, adhesion, grade).</t>
  </si>
  <si>
    <t xml:space="preserve">D (motorcycle): target lane, beside or behind trailer</t>
  </si>
  <si>
    <t xml:space="preserve">motorcycle position along combination, actor_speed_rel_to_sdt, lateral position in lane</t>
  </si>
  <si>
    <t xml:space="preserve">Motorcycle steady / accelerating to pass / filtering between lanes</t>
  </si>
  <si>
    <t xml:space="preserve">Detect small actors in all side slots; no lateral motion until confirmed clear.</t>
  </si>
  <si>
    <t xml:space="preserve">T1, T3, T5</t>
  </si>
  <si>
    <t xml:space="preserve">moto_long_position [-25..+5 m]; moto_lateral_offset [-1..+1 m]; moto_rel_speed [-5..+20 mph]</t>
  </si>
  <si>
    <t xml:space="preserve">K-SAF-01, K-SAF-04</t>
  </si>
  <si>
    <t xml:space="preserve">M-01, M-04, M-05, M-10</t>
  </si>
  <si>
    <t xml:space="preserve">Lateral clearance</t>
  </si>
  <si>
    <t xml:space="preserve">Excessive Steering, Insufficient Steering, No Steering, Steering for too long / stuck, Steering in opposite direction, Unintended Steering</t>
  </si>
  <si>
    <t xml:space="preserve">H1, H2</t>
  </si>
  <si>
    <t xml:space="preserve">Highway x Lane Changes / Overtaking x H1</t>
  </si>
  <si>
    <t xml:space="preserve">TC-CRAWL-200: Small radar/visual cross-section reducing detection range
TC-CRAWL-201: Motorcycle riding in vehicle blind spot due to narrow profile</t>
  </si>
  <si>
    <t xml:space="preserve">FI-PCP-06: Actor / object not detected (OMV, VRU, static obstacle missed).
FI-PCP-07: Actor provided too late (perception latency in collision-critical situation).
FI-PCP-12: Unstable / intermittent detection under intermittent occlusion.
FI-VI-04: Wrong prediction of other actor motion / intent (adjacent, opposite, VRU).</t>
  </si>
  <si>
    <t xml:space="preserve">Simulation; track with motorcycle target</t>
  </si>
  <si>
    <t xml:space="preserve">B or D: wide load / swaying trailer / oversize vehicle</t>
  </si>
  <si>
    <t xml:space="preserve">Lane Count &gt;= 2; Lane Width (TORC-ODD-76)</t>
  </si>
  <si>
    <t xml:space="preserve">actor_kind, actor lateral excursion amplitude [0..1 m], lane_width</t>
  </si>
  <si>
    <t xml:space="preserve">Wide load encroaching on boundary; trailer sway under wind</t>
  </si>
  <si>
    <t xml:space="preserve">Increase lateral and longitudinal margins or do not change lane next to unstable / oversize vehicles.</t>
  </si>
  <si>
    <t xml:space="preserve">T1, T3, T5, T7</t>
  </si>
  <si>
    <t xml:space="preserve">actor_kind [wide load, swaying trailer, oversize]; lateral_excursion [0..1 m, 0.25 m]; lane_width</t>
  </si>
  <si>
    <t xml:space="preserve">M-03, M-08</t>
  </si>
  <si>
    <t xml:space="preserve">H1, H2, H5</t>
  </si>
  <si>
    <t xml:space="preserve">TC-CRAWL-187: Large vehicle configuration
TC-CRAWL-188: Special cargo type
TC-CRAWL-189: Wide-Load vehicle
TC-CRAWL-192: Trailer swerving/swaying
TC-CRAWL-191: Jackknifing</t>
  </si>
  <si>
    <t xml:space="preserve">FI-PCP-06: Actor / object not detected (OMV, VRU, static obstacle missed).
FI-PCP-08: Incorrect actor position (adjacent / opposite / crossing).
FI-PCP-09: Incorrect actor velocity (longitudinal / lateral).
FI-PCP-16: Incorrect trailer position / configuration (or trailer in wrong coordinate frame).
FI-VI-04: Wrong prediction of other actor motion / intent (adjacent, opposite, VRU).
FI-VI-06: Replanning too late for a dynamic change (cut-in, intrusion, lane shift).
FI-VI-07: Incorrect assumption on own capability envelope (braking / steering limits vs load, adhesion, grade).</t>
  </si>
  <si>
    <t xml:space="preserve">Discretionary becoming urgent</t>
  </si>
  <si>
    <t xml:space="preserve">A: lead origin lane, brakes; B, D in target lane</t>
  </si>
  <si>
    <t xml:space="preserve">init_drive &gt; signal &gt; A_brake || change_lane &gt; post_phase</t>
  </si>
  <si>
    <t xml:space="preserve">actor_long_decel (A), distance to A, phase_at_trigger, target lane occupancy</t>
  </si>
  <si>
    <t xml:space="preserve">Target lane free (continue) / occupied (brake in lane)</t>
  </si>
  <si>
    <t xml:space="preserve">Choose between completing the lane change and braking in lane based on target-lane state; never get stuck straddling with A braking.</t>
  </si>
  <si>
    <t xml:space="preserve">T1, T3, T5, T8, T9</t>
  </si>
  <si>
    <t xml:space="preserve">A_decel [1..8 m/s2]; distance_to_A [10..80 m]; phase_at_trigger; target_lane_free [yes, no]</t>
  </si>
  <si>
    <t xml:space="preserve">K-SAF-01, K-SAF-02, K-SAF-07, K-SAF-08</t>
  </si>
  <si>
    <t xml:space="preserve">M-01, M-05, M-09</t>
  </si>
  <si>
    <t xml:space="preserve">Longitudinal speed, Front obstacle avoidance, Longitudinal gap</t>
  </si>
  <si>
    <t xml:space="preserve">Excessive Acceleration, Excessive Deceleration, Excessive Steering, Insufficient Acceleration, Insufficient Deceleration, Insufficient Steering, No Acceleration, No Deceleration, No Steering, Steering in opposite direction, Steering too late, Unintended Acceleration, Unintended Deceleration, Unintended Steering</t>
  </si>
  <si>
    <t xml:space="preserve">H1, H2, H3, H4, H5</t>
  </si>
  <si>
    <t xml:space="preserve">TC-CRAWL-185: Brake lights vs. hazard lights misclassified
TC-CRAWL-174: Accident
TC-CRAWL-039: Downhill grade increasing stopping distance</t>
  </si>
  <si>
    <t xml:space="preserve">Mandatory (evasive)</t>
  </si>
  <si>
    <t xml:space="preserve">A: cuts out to target lane; O: stopped vehicle / obstacle in origin lane; D in target lane</t>
  </si>
  <si>
    <t xml:space="preserve">follow_A &gt; A_cut_out &gt; reveal_O &gt; decide &gt; change_lane or brake</t>
  </si>
  <si>
    <t xml:space="preserve">distance to O at reveal, sdt_speed, target lane occupancy, O kind</t>
  </si>
  <si>
    <t xml:space="preserve">Target lane free / occupied; O is vehicle / debris / crash</t>
  </si>
  <si>
    <t xml:space="preserve">Brake first if the target lane is not clear; evasive lane change only with a verified gap.</t>
  </si>
  <si>
    <t xml:space="preserve">T1, T3, T4, T5, T8, T9</t>
  </si>
  <si>
    <t xml:space="preserve">distance_to_O_at_reveal [20..150 m, 10 m]; sdt_speed; target_lane_free</t>
  </si>
  <si>
    <t xml:space="preserve">K-SAF-01, K-SAF-02, K-SAF-05, K-SAF-08</t>
  </si>
  <si>
    <t xml:space="preserve">M-01, M-04, M-05, M-06</t>
  </si>
  <si>
    <t xml:space="preserve">Front obstacle avoidance, Longitudinal speed, Lateral clearance</t>
  </si>
  <si>
    <t xml:space="preserve">Excessive Acceleration, Excessive Deceleration, Excessive Steering, Insufficient Steering, No Acceleration, No Deceleration, No Steering, Steering for too long / stuck, Steering in opposite direction, Steering too late, Unintended Acceleration, Unintended Deceleration, Unintended Steering</t>
  </si>
  <si>
    <t xml:space="preserve">TC-CRAWL-182: Stopped in Lane
TC-CRAWL-186: Vehicle partially occluded by another vehicle
TC-CRAWL-210: Solid obstacle on ego path
TC-CRAWL-174: Accident</t>
  </si>
  <si>
    <t xml:space="preserve">FI-PCP-06: Actor / object not detected (OMV, VRU, static obstacle missed).
FI-PCP-08: Incorrect actor position (adjacent / opposite / crossing).
FI-PCP-09: Incorrect actor velocity (longitudinal / lateral).
FI-PCP-11: False positive actors / objects (ghost targets).
FI-PCP-12: Unstable / intermittent detection under intermittent occlusion.
FI-PCP-18: Out-of-distribution / unseen object class not handled safely (no safe default).
FI-VI-02: Plans trajectory leaving the ego lane to satisfy constraints (false-positive avoidance, MC constraints).
FI-VI-04: Wrong prediction of other actor motion / intent (adjacent, opposite, VRU).
FI-VI-06: Replanning too late for a dynamic change (cut-in, intrusion, lane shift).</t>
  </si>
  <si>
    <t xml:space="preserve">vehicle_cut_out_exposing_vehicle (public Foretellix evaluation scenario)</t>
  </si>
  <si>
    <t xml:space="preserve">C: follower origin lane, short headway; B, D target lane</t>
  </si>
  <si>
    <t xml:space="preserve">init_drive &gt; adjust_speed &gt; change_lane &gt; post_phase</t>
  </si>
  <si>
    <t xml:space="preserve">C headway [0.3..1.5 s], SDT decel needed for gap alignment</t>
  </si>
  <si>
    <t xml:space="preserve">C also starts to change lane</t>
  </si>
  <si>
    <t xml:space="preserve">Prefer gap alignment by acceleration or waiting rather than braking with a tailgater; signal early.</t>
  </si>
  <si>
    <t xml:space="preserve">T1, T5, T6, T9</t>
  </si>
  <si>
    <t xml:space="preserve">C_headway [0.3..1.5 s, 0.1]; sdt_decel_requested [0..3 m/s2]</t>
  </si>
  <si>
    <t xml:space="preserve">K-SAF-01, K-SAF-02, K-CRT-02</t>
  </si>
  <si>
    <t xml:space="preserve">M-04, M-06</t>
  </si>
  <si>
    <t xml:space="preserve">Longitudinal speed, Longitudinal gap, Signal intent for maneuver</t>
  </si>
  <si>
    <t xml:space="preserve">Excessive Acceleration, Excessive Deceleration, Insufficient Acceleration, Insufficient Deceleration, No Acceleration, No Deceleration, No Turn Signal, Turn Signal in opposite direction, Turn Signal too late, Unintended Acceleration, Unintended Deceleration, Unintended Turn Signal</t>
  </si>
  <si>
    <t xml:space="preserve">TC-CRAWL-176: Following too close
TC-CRAWL-273: Low sun behind the SDT washing out brake / turn signals for followers
TC-CRAWL-274: Dense spray plume behind trailer obscuring rear light units</t>
  </si>
  <si>
    <t xml:space="preserve">FI-PCP-06: Actor / object not detected (OMV, VRU, static obstacle missed).
FI-PCP-08: Incorrect actor position (adjacent / opposite / crossing).
FI-PCP-09: Incorrect actor velocity (longitudinal / lateral).
FI-PCP-17: Degradation under specific environmental conditions not compensated (rain, fog, night, glare, shadows, low contrast).
FI-VI-04: Wrong prediction of other actor motion / intent (adjacent, opposite, VRU).
FI-VI-06: Replanning too late for a dynamic change (cut-in, intrusion, lane shift).</t>
  </si>
  <si>
    <t xml:space="preserve">Mandatory (deadline)</t>
  </si>
  <si>
    <t xml:space="preserve">toward continuing lane</t>
  </si>
  <si>
    <t xml:space="preserve">B, D in target lane; C behind</t>
  </si>
  <si>
    <t xml:space="preserve">approach_drop &gt; decide &gt; signal &gt; change_lane &gt; post_phase</t>
  </si>
  <si>
    <t xml:space="preserve">Lane Count change (TORC-ODD-356); merge arrows / signs (TC-CRAWL-079, 140)</t>
  </si>
  <si>
    <t xml:space="preserve">distance_to_mandatory_point, traffic_volume, front_gap_target_lane, rear_gap_target_lane</t>
  </si>
  <si>
    <t xml:space="preserve">Lane drop signed / unsigned; drop not in map</t>
  </si>
  <si>
    <t xml:space="preserve">Plan the lane change early with enough distance to find a gap; adjust speed to create a gap; never reach the end of the lane without a solution (fallback: controlled stop before taper).</t>
  </si>
  <si>
    <t xml:space="preserve">T2, T4, T5, T6, T7, T8</t>
  </si>
  <si>
    <t xml:space="preserve">distance_to_mandatory_point [100..1600 m]; traffic_volume [300..2000 veh/h]; first_feasible_gap_index</t>
  </si>
  <si>
    <t xml:space="preserve">K-SAF-01, K-SAF-05, K-CMP-01, K-EFF-01, K-EFF-03</t>
  </si>
  <si>
    <t xml:space="preserve">M-04, M-05, M-06</t>
  </si>
  <si>
    <t xml:space="preserve">Lane keeping / route guidance, Longitudinal gap, Lateral clearance</t>
  </si>
  <si>
    <t xml:space="preserve">TC-CRAWL-024: Unmarked lane count change (add/drop)
TC-CRAWL-046: lane ends
TC-CRAWL-047: Lane merges into adjacent lane without warning
TC-CRAWL-148: Lane drop not anticipated (mandatory exit not flagged in time)
TC-CRAWL-079: Faded merge arrow marking
TC-CRAWL-140: Merge warning sign missed/obscured</t>
  </si>
  <si>
    <t xml:space="preserve">FI-LOC-05: Incorrect lane assignment (ego located in wrong lane of the carriageway).
FI-PCP-01: Lane markings not detected (no lane data provided to VI).
FI-PCP-02: Lane markings detected with insufficient precision or inconsistent performance.
FI-PCP-04: Incorrect lane position / geometry estimate delivered (lateral position, curvature).
FI-PCP-05: False positive lanes accepted (fake / shadow / skid-mark lanes).
FI-PCP-06: Actor / object not detected (OMV, VRU, static obstacle missed).
FI-PCP-14: Traffic sign / signal not detected or misclassified (incl. temporary signage).
FI-VI-01: Plans trajectory following an incorrect ego lane (propagates FI-PCP-04 / FI-LOC-05).
FI-VI-05: Incorrect traffic-rule application (right-of-way, speed rule, move-over, gap acceptance).</t>
  </si>
  <si>
    <t xml:space="preserve">Simulation; public road site</t>
  </si>
  <si>
    <t xml:space="preserve">toward open lane</t>
  </si>
  <si>
    <t xml:space="preserve">B, D in open lane; S: workers / equipment; O: cones, barrels</t>
  </si>
  <si>
    <t xml:space="preserve">approach_wz &gt; detect_closure &gt; signal &gt; change_lane &gt; follow_shift</t>
  </si>
  <si>
    <t xml:space="preserve">Work Zones (TORC-FLD-1569); temporary markings contradicting permanent markings</t>
  </si>
  <si>
    <t xml:space="preserve">taper distance, temporary vs permanent marking conflict, traffic_volume, worker proximity</t>
  </si>
  <si>
    <t xml:space="preserve">Closure in map / not in map; night work zone</t>
  </si>
  <si>
    <t xml:space="preserve">Follow temporary devices over permanent markings; merge before taper (zipper merge when congested); respect reduced speed.</t>
  </si>
  <si>
    <t xml:space="preserve">T1, T2, T4, T5, T6, T7</t>
  </si>
  <si>
    <t xml:space="preserve">taper_distance; marking_conflict [yes, no]; closure_in_map [yes, no]; light [day, night]</t>
  </si>
  <si>
    <t xml:space="preserve">K-SAF-01, K-SAF-04, K-CMP-03, K-EFF-01</t>
  </si>
  <si>
    <t xml:space="preserve">M-05, M-06</t>
  </si>
  <si>
    <t xml:space="preserve">Lane keeping / route guidance, Lateral clearance, Longitudinal gap</t>
  </si>
  <si>
    <t xml:space="preserve">TC-CRAWL-240: Temporary work-zone markings contradicting permanent markings
TC-CRAWL-241: Shifted / temporary lanes not reflected in the map
TC-CRAWL-242: Channelizing devices (cones, barrels, barriers) misclassified or not detected
TC-CRAWL-243: Temporary reduced-speed work-zone signage missed
TC-CRAWL-244: Workers adjacent to live lane (inside marked work zone)
TC-CRAWL-245: Night work zone with glare from work lights
TC-CRAWL-238: Stale/outdated map not reflecting recent construction changes</t>
  </si>
  <si>
    <t xml:space="preserve">FI-LOC-04: Offline map incorrect or stale vs reality.
FI-LOC-05: Incorrect lane assignment (ego located in wrong lane of the carriageway).
FI-PCP-03: Non-standard / unconventional markings not recognized.
FI-PCP-05: False positive lanes accepted (fake / shadow / skid-mark lanes).
FI-PCP-06: Actor / object not detected (OMV, VRU, static obstacle missed).
FI-PCP-07: Actor provided too late (perception latency in collision-critical situation).
FI-PCP-10: Incorrect object classification (incl. EMV not recognized / non-EMV taken for EMV).
FI-PCP-13: Speed limit not detected or incorrect value provided.
FI-PCP-14: Traffic sign / signal not detected or misclassified (incl. temporary signage).
FI-PCP-17: Degradation under specific environmental conditions not compensated (rain, fog, night, glare, shadows, low contrast).
FI-VI-01: Plans trajectory following an incorrect ego lane (propagates FI-PCP-04 / FI-LOC-05).
FI-VI-04: Wrong prediction of other actor motion / intent (adjacent, opposite, VRU).</t>
  </si>
  <si>
    <t xml:space="preserve">Simulation; public road site (Walk scope adds fixed construction zone)</t>
  </si>
  <si>
    <t xml:space="preserve">Discretionary or mandatory</t>
  </si>
  <si>
    <t xml:space="preserve">E, F, B, D: vehicles weaving in both directions</t>
  </si>
  <si>
    <t xml:space="preserve">enter_weave &gt; change_lane &gt; exit_weave</t>
  </si>
  <si>
    <t xml:space="preserve">Weaving Lane (TC-CRAWL-049); Merging Lane</t>
  </si>
  <si>
    <t xml:space="preserve">weave length, number of weaving actors, traffic_volume</t>
  </si>
  <si>
    <t xml:space="preserve">Short weave; dense weaving traffic</t>
  </si>
  <si>
    <t xml:space="preserve">Anticipate crossing lane changes of others; avoid lane change in the shortest part of the weave when possible.</t>
  </si>
  <si>
    <t xml:space="preserve">T1, T2, T3, T5</t>
  </si>
  <si>
    <t xml:space="preserve">weave_length [200..800 m]; weaving_actor_count [0..6]</t>
  </si>
  <si>
    <t xml:space="preserve">K-SAF-01, K-SAF-02, K-SAF-04</t>
  </si>
  <si>
    <t xml:space="preserve">Lateral clearance, Longitudinal gap</t>
  </si>
  <si>
    <t xml:space="preserve">TC-CRAWL-049: Short weave distance between merge and diverge
TC-CRAWL-050: High-density lane-changing traffic within weave section
TC-CRAWL-097: Acute ramp merge angle reducing mainline visibility</t>
  </si>
  <si>
    <t xml:space="preserve">FI-PCP-06: Actor / object not detected (OMV, VRU, static obstacle missed).
FI-PCP-09: Incorrect actor velocity (longitudinal / lateral).
FI-VI-05: Incorrect traffic-rule application (right-of-way, speed rule, move-over, gap acceptance).
FI-VI-06: Replanning too late for a dynamic change (cut-in, intrusion, lane shift).</t>
  </si>
  <si>
    <t xml:space="preserve">Mandatory (route)</t>
  </si>
  <si>
    <t xml:space="preserve">B, D in target lane</t>
  </si>
  <si>
    <t xml:space="preserve">approach_exit &gt; decide &gt; signal &gt; change_lane &gt; post_phase</t>
  </si>
  <si>
    <t xml:space="preserve">Exit/Off-Ramp; interchange guide signs (TC-CRAWL-144, 145)</t>
  </si>
  <si>
    <t xml:space="preserve">distance_to_mandatory_point, traffic_volume, sign visibility</t>
  </si>
  <si>
    <t xml:space="preserve">Exit sign obscured; late decision</t>
  </si>
  <si>
    <t xml:space="preserve">Plan from map, not only from signs; if the gap cannot be found in time, continue past the exit (reroute) rather than force a late lane change.</t>
  </si>
  <si>
    <t xml:space="preserve">T2, T4, T5</t>
  </si>
  <si>
    <t xml:space="preserve">distance_to_exit_at_decision [200..2000 m]; traffic_volume</t>
  </si>
  <si>
    <t xml:space="preserve">K-SAF-01, K-SAF-05, K-EFF-01</t>
  </si>
  <si>
    <t xml:space="preserve">Lane keeping / route guidance, Longitudinal gap</t>
  </si>
  <si>
    <t xml:space="preserve">TC-CRAWL-101: Short/blocked deceleration lane
TC-CRAWL-102: Exit gore misread as a usable lane
TC-CRAWL-144: Guide sign misread, leading to wrong lane selection for interchange
TC-CRAWL-145: Exit direction sign obscured, causing a late lane change
TC-CRAWL-146: Gore sign/marking misread, ambiguous exit-vs-through lane
TC-CRAWL-147: Pull-through sign missed, causing incorrect lane assumption at a split</t>
  </si>
  <si>
    <t xml:space="preserve">FI-PCP-05: False positive lanes accepted (fake / shadow / skid-mark lanes).
FI-PCP-06: Actor / object not detected (OMV, VRU, static obstacle missed).
FI-PCP-09: Incorrect actor velocity (longitudinal / lateral).
FI-PCP-11: False positive actors / objects (ghost targets).
FI-PCP-12: Unstable / intermittent detection under intermittent occlusion.
FI-PCP-14: Traffic sign / signal not detected or misclassified (incl. temporary signage).
FI-VI-05: Incorrect traffic-rule application (right-of-way, speed rule, move-over, gap acceptance).
FI-VI-06: Replanning too late for a dynamic change (cut-in, intrusion, lane shift).</t>
  </si>
  <si>
    <t xml:space="preserve">Discretionary (courtesy)</t>
  </si>
  <si>
    <t xml:space="preserve">left</t>
  </si>
  <si>
    <t xml:space="preserve">E (ramp vehicle): merging from on-ramp; B, D in target lane</t>
  </si>
  <si>
    <t xml:space="preserve">approach_ramp &gt; decide &gt; signal &gt; change_lane &gt; post_phase</t>
  </si>
  <si>
    <t xml:space="preserve">Entry/On-Ramp (TC-CRAWL-099, 100)</t>
  </si>
  <si>
    <t xml:space="preserve">ramp vehicle speed rel to SDT, acceleration-lane length, target lane occupancy</t>
  </si>
  <si>
    <t xml:space="preserve">Target lane busy: adjust speed instead</t>
  </si>
  <si>
    <t xml:space="preserve">Move over when the target lane is clear; otherwise adjust speed to let the ramp vehicle merge.</t>
  </si>
  <si>
    <t xml:space="preserve">T1, T3, T4, T5</t>
  </si>
  <si>
    <t xml:space="preserve">ramp_rel_speed [-30..0 mph]; accel_lane_length; target_lane_free</t>
  </si>
  <si>
    <t xml:space="preserve">K-SAF-01, K-CRT-03, K-SAF-05</t>
  </si>
  <si>
    <t xml:space="preserve">TC-CRAWL-052: Vehicle merging at high speed differential
TC-CRAWL-099: Short/blocked acceleration lane
TC-CRAWL-100: High speed differential with mainline traffic
TC-CRAWL-265: Vehicle failing to yield at merge despite signage</t>
  </si>
  <si>
    <t xml:space="preserve">FI-PCP-06: Actor / object not detected (OMV, VRU, static obstacle missed).
FI-PCP-09: Incorrect actor velocity (longitudinal / lateral).
FI-PCP-12: Unstable / intermittent detection under intermittent occlusion.
FI-VI-04: Wrong prediction of other actor motion / intent (adjacent, opposite, VRU).
FI-VI-05: Incorrect traffic-rule application (right-of-way, speed rule, move-over, gap acceptance).
FI-VI-06: Replanning too late for a dynamic change (cut-in, intrusion, lane shift).</t>
  </si>
  <si>
    <t xml:space="preserve">none (or NOM-02 traffic)</t>
  </si>
  <si>
    <t xml:space="preserve">Lane Boundary (TORC-FLD-1588); Edge Lines</t>
  </si>
  <si>
    <t xml:space="preserve">marking_quality, light, rain</t>
  </si>
  <si>
    <t xml:space="preserve">Solid line misread as dashed; shadows or skid marks resembling lines</t>
  </si>
  <si>
    <t xml:space="preserve">If boundary type or lane count is uncertain, do not change lane unless needed; use map and other vehicles as cues.</t>
  </si>
  <si>
    <t xml:space="preserve">T2, T4</t>
  </si>
  <si>
    <t xml:space="preserve">marking_quality [good, faded, missing, double exposure, shadow]; light; rain</t>
  </si>
  <si>
    <t xml:space="preserve">K-SAF-01, K-CMP-03</t>
  </si>
  <si>
    <t xml:space="preserve">M-01, M-04, M-05</t>
  </si>
  <si>
    <t xml:space="preserve">Lane keeping / route guidance, Lateral control / stay-in-lane</t>
  </si>
  <si>
    <t xml:space="preserve">TC-CRAWL-025: Miscounted lanes due to missing boundary markings
TC-CRAWL-055: Missing lane marking
TC-CRAWL-060: damaged lane markings
TC-CRAWL-061: shadows resembling lane markings
TC-CRAWL-064: skid marks resembling lane markings
TC-CRAWL-065: Double-exposure marking (old markings not fully removed)
TC-CRAWL-068: Irregular dash spacing (misread as solid line)</t>
  </si>
  <si>
    <t xml:space="preserve">FI-LOC-05: Incorrect lane assignment (ego located in wrong lane of the carriageway).
FI-PCP-01: Lane markings not detected (no lane data provided to VI).
FI-PCP-02: Lane markings detected with insufficient precision or inconsistent performance.
FI-PCP-04: Incorrect lane position / geometry estimate delivered (lateral position, curvature).
FI-PCP-05: False positive lanes accepted (fake / shadow / skid-mark lanes).
FI-PCP-10: Incorrect object classification (incl. EMV not recognized / non-EMV taken for EMV).
FI-PCP-11: False positive actors / objects (ghost targets).
FI-PCP-14: Traffic sign / signal not detected or misclassified (incl. temporary signage).
FI-VI-01: Plans trajectory following an incorrect ego lane (propagates FI-PCP-04 / FI-LOC-05).</t>
  </si>
  <si>
    <t xml:space="preserve">Simulation; track with modified markings</t>
  </si>
  <si>
    <t xml:space="preserve">B or D possibly hidden by crest / curve</t>
  </si>
  <si>
    <t xml:space="preserve">Curvature (TORC-ODD-360); Slope (TORC-ODD-79); vertical curve</t>
  </si>
  <si>
    <t xml:space="preserve">curvature, grade, sight distance, sdt_speed, load</t>
  </si>
  <si>
    <t xml:space="preserve">Crest hides B; downhill with heavy load</t>
  </si>
  <si>
    <t xml:space="preserve">Avoid lane changes where sight distance is below need; respect stability limits with load.</t>
  </si>
  <si>
    <t xml:space="preserve">T1, T5, T7, T9</t>
  </si>
  <si>
    <t xml:space="preserve">curvature bins; grade [-8..+8 %]; sight_distance [50..400 m]</t>
  </si>
  <si>
    <t xml:space="preserve">K-SAF-01, K-SAF-02, K-CRT-01</t>
  </si>
  <si>
    <t xml:space="preserve">M-03</t>
  </si>
  <si>
    <t xml:space="preserve">Vehicle stability, Lateral control / stay-in-lane, Longitudinal speed</t>
  </si>
  <si>
    <t xml:space="preserve">Excessive Acceleration, Excessive Deceleration, Excessive Steering, Insufficient Acceleration, Insufficient Deceleration, Insufficient Steering, No Acceleration, No Deceleration, No Steering, Steering for too long / stuck, Unintended Acceleration, Unintended Deceleration, Unintended Steering</t>
  </si>
  <si>
    <t xml:space="preserve">Highway x Lane Changes / Overtaking x H1; Highway x Lane Changes / Overtaking x H2; Highway x Lane Changes / Overtaking x H3; Highway x Lane Changes / Overtaking x H5</t>
  </si>
  <si>
    <t xml:space="preserve">TC-CRAWL-032: tight curve
TC-CRAWL-034: Reduced sight distance around curve
TC-CRAWL-036: high lane grade
TC-CRAWL-039: Downhill grade increasing stopping distance
TC-CRAWL-042: Crest curve blocking forward line of sight
TC-CRAWL-001: High trailer weight
TC-CRAWL-006: Unsecured/shifting cargo</t>
  </si>
  <si>
    <t xml:space="preserve">FI-PCP-04: Incorrect lane position / geometry estimate delivered (lateral position, curvature).
FI-PCP-16: Incorrect trailer position / configuration (or trailer in wrong coordinate frame).
FI-VI-01: Plans trajectory following an incorrect ego lane (propagates FI-PCP-04 / FI-LOC-05).
FI-VI-07: Incorrect assumption on own capability envelope (braking / steering limits vs load, adhesion, grade).</t>
  </si>
  <si>
    <t xml:space="preserve">Map (L6); Lane Count</t>
  </si>
  <si>
    <t xml:space="preserve">map vs reality mismatch type</t>
  </si>
  <si>
    <t xml:space="preserve">Target lane exists in map but not on road; lane exists on road but not in map</t>
  </si>
  <si>
    <t xml:space="preserve">Detect inconsistency; do not change into a lane not confirmed by perception.</t>
  </si>
  <si>
    <t xml:space="preserve">mismatch_type [lane missing, extra lane, shifted lane]</t>
  </si>
  <si>
    <t xml:space="preserve">M-05</t>
  </si>
  <si>
    <t xml:space="preserve">Lane keeping / route guidance</t>
  </si>
  <si>
    <t xml:space="preserve">TC-CRAWL-237: Incorrect map data
TC-CRAWL-238: Stale/outdated map not reflecting recent construction changes
TC-CRAWL-239: Map-reported lane count mismatching actual painted lanes
TC-CRAWL-141: Added-lane sign/marking mismatch with actual lane count</t>
  </si>
  <si>
    <t xml:space="preserve">FI-LOC-04: Offline map incorrect or stale vs reality.
FI-LOC-05: Incorrect lane assignment (ego located in wrong lane of the carriageway).
FI-PCP-14: Traffic sign / signal not detected or misclassified (incl. temporary signage).
FI-VI-05: Incorrect traffic-rule application (right-of-way, speed rule, move-over, gap acceptance).</t>
  </si>
  <si>
    <t xml:space="preserve">Abort</t>
  </si>
  <si>
    <t xml:space="preserve">return to origin</t>
  </si>
  <si>
    <t xml:space="preserve">Trigger actor: D, E or B; C behind in origin lane</t>
  </si>
  <si>
    <t xml:space="preserve">change_lane &gt; trigger &gt; abort &gt; return &gt; post_phase</t>
  </si>
  <si>
    <t xml:space="preserve">lateral progress at trigger [0..100 %], trigger type, C position</t>
  </si>
  <si>
    <t xml:space="preserve">Trigger before / after point of no return</t>
  </si>
  <si>
    <t xml:space="preserve">Abort when continuing is less safe; return with controlled lateral motion; cancel or switch signal; do not oscillate between lanes.</t>
  </si>
  <si>
    <t xml:space="preserve">T3, T6, T8, T9</t>
  </si>
  <si>
    <t xml:space="preserve">lateral_progress_at_trigger [0..100 %, 10 %]; trigger_type [D accel, E merge, B brake]</t>
  </si>
  <si>
    <t xml:space="preserve">K-SAF-01, K-SAF-07, K-SAF-08, K-CRT-01</t>
  </si>
  <si>
    <t xml:space="preserve">M-01, M-03, M-06</t>
  </si>
  <si>
    <t xml:space="preserve">Lateral clearance, Vehicle stability, Misleading signal (not needed)</t>
  </si>
  <si>
    <t xml:space="preserve">Highway x Lane Changes / Overtaking x H1; Highway x Lane Changes / Overtaking x H5</t>
  </si>
  <si>
    <t xml:space="preserve">TC-CRAWL-175: Aggressive Behavior
TC-CRAWL-171: Vehicle moving out of lane
TC-CRAWL-227: high wind gust</t>
  </si>
  <si>
    <t xml:space="preserve">FI-PCP-06: Actor / object not detected (OMV, VRU, static obstacle missed).
FI-PCP-08: Incorrect actor position (adjacent / opposite / crossing).
FI-PCP-09: Incorrect actor velocity (longitudinal / lateral).
FI-PCP-17: Degradation under specific environmental conditions not compensated (rain, fog, night, glare, shadows, low contrast).
FI-VI-04: Wrong prediction of other actor motion / intent (adjacent, opposite, VRU).
FI-VI-06: Replanning too late for a dynamic change (cut-in, intrusion, lane shift).
FI-VI-07: Incorrect assumption on own capability envelope (braking / steering limits vs load, adhesion, grade).</t>
  </si>
  <si>
    <t xml:space="preserve">Abort to MRM</t>
  </si>
  <si>
    <t xml:space="preserve">n/a</t>
  </si>
  <si>
    <t xml:space="preserve">B, D in target lane; C in origin lane</t>
  </si>
  <si>
    <t xml:space="preserve">change_lane &gt; degradation &gt; fallback_decision &gt; MRM</t>
  </si>
  <si>
    <t xml:space="preserve">Shoulder Presence (TORC-ODD-81)</t>
  </si>
  <si>
    <t xml:space="preserve">lateral progress at degradation, degradation type, shoulder availability</t>
  </si>
  <si>
    <t xml:space="preserve">Complete LC then MRM / return then MRM</t>
  </si>
  <si>
    <t xml:space="preserve">Never end the MRM straddling two lanes; finish or return depending on progress and traffic, then perform MRM.</t>
  </si>
  <si>
    <t xml:space="preserve">T8, T9 (fallback planner)</t>
  </si>
  <si>
    <t xml:space="preserve">lateral_progress_at_degradation; degradation_type; shoulder_present</t>
  </si>
  <si>
    <t xml:space="preserve">K-SAF-01, K-SAF-07, K-SAF-08</t>
  </si>
  <si>
    <t xml:space="preserve">M-01, M-05</t>
  </si>
  <si>
    <t xml:space="preserve">Lane keeping / route guidance, Longitudinal speed</t>
  </si>
  <si>
    <t xml:space="preserve">Excessive Acceleration, Excessive Deceleration, Excessive Steering, Insufficient Steering, No Acceleration, No Deceleration, No Steering, Steering for too long / stuck, Steering in opposite direction, Unintended Acceleration, Unintended Deceleration, Unintended Steering</t>
  </si>
  <si>
    <t xml:space="preserve">TC-CRAWL-232: Incorrect gnss position
TC-CRAWL-012: Dirty/occluded sensor lens
TC-CRAWL-251: High ambient temperature causing sensor / compute thermal derating</t>
  </si>
  <si>
    <t xml:space="preserve">FI-LOC-01: Incorrect global pose (GNSS+IMU fusion error).
FI-LOC-02: Local frame drift over time.
FI-PCP-12: Unstable / intermittent detection under intermittent occlusion.
FI-SEN-02: Sensor data of insufficient quality (resolution, SNR, range) for the downstream task.
FI-SEN-03: Sensor configuration / calibration incorrect (wrong parameters, drift).
FI-SEN-04: Sensor mounting misaligned / data in unexpected coordinate frame (incl. factory mispositioning).
FI-SEN-06: GNSS data incorrect or absent.</t>
  </si>
  <si>
    <t xml:space="preserve">Simulation; fault injection on track</t>
  </si>
  <si>
    <t xml:space="preserve">Mandatory (legal)</t>
  </si>
  <si>
    <t xml:space="preserve">away from shoulder</t>
  </si>
  <si>
    <t xml:space="preserve">S: stopped EMV with lights; B, D in target lane</t>
  </si>
  <si>
    <t xml:space="preserve">approach &gt; detect_emv &gt; decide &gt; change_lane or slow &gt; pass</t>
  </si>
  <si>
    <t xml:space="preserve">detection distance, EMV kind, target lane occupancy, light</t>
  </si>
  <si>
    <t xml:space="preserve">Target lane busy: slow 20 mph below limit instead</t>
  </si>
  <si>
    <t xml:space="preserve">Vacate the lane closest to the EMV when safe, otherwise slow to 20 mph below the posted limit (TX TRC 545.157).</t>
  </si>
  <si>
    <t xml:space="preserve">T1, T4, T5, T6</t>
  </si>
  <si>
    <t xml:space="preserve">detection_distance [50..400 m]; emv_kind; target_lane_free; light</t>
  </si>
  <si>
    <t xml:space="preserve">K-SAF-01, K-CMP-04, K-SAF-05</t>
  </si>
  <si>
    <t xml:space="preserve">Lateral clearance, Longitudinal speed</t>
  </si>
  <si>
    <t xml:space="preserve">H1, H2, H3, H6</t>
  </si>
  <si>
    <t xml:space="preserve">TC-CRAWL-196: Active emergency lights washed out by daylight glare
TC-CRAWL-197: Unmarked emergency vehicle lacking distinctive livery
TC-CRAWL-198: Emergency vehicle not recognized
TC-CRAWL-199: Non Emergency vehicle recognized as emergency
TC-CRAWL-183: Stopped on Shoulder</t>
  </si>
  <si>
    <t xml:space="preserve">FI-PCP-06: Actor / object not detected (OMV, VRU, static obstacle missed).
FI-PCP-08: Incorrect actor position (adjacent / opposite / crossing).
FI-PCP-09: Incorrect actor velocity (longitudinal / lateral).
FI-PCP-10: Incorrect object classification (incl. EMV not recognized / non-EMV taken for EMV).
FI-PCP-14: Traffic sign / signal not detected or misclassified (incl. temporary signage).
FI-PCP-17: Degradation under specific environmental conditions not compensated (rain, fog, night, glare, shadows, low contrast).
FI-VI-04: Wrong prediction of other actor motion / intent (adjacent, opposite, VRU).
FI-VI-05: Incorrect traffic-rule application (right-of-way, speed rule, move-over, gap acceptance).
FI-VI-06: Replanning too late for a dynamic change (cut-in, intrusion, lane shift).</t>
  </si>
  <si>
    <t xml:space="preserve">right</t>
  </si>
  <si>
    <t xml:space="preserve">C: EMV approaching; B, D in target lane</t>
  </si>
  <si>
    <t xml:space="preserve">detect_emv &gt; decide &gt; signal &gt; change_lane &gt; hold</t>
  </si>
  <si>
    <t xml:space="preserve">EMV closing speed, congestion level</t>
  </si>
  <si>
    <t xml:space="preserve">Congestion: passage must be formed in slow traffic (TC-CRAWL-272)</t>
  </si>
  <si>
    <t xml:space="preserve">Yield by moving right and slowing or stopping as needed; do not block the EMV path.</t>
  </si>
  <si>
    <t xml:space="preserve">emv_closing_speed [10..50 mph]; traffic_volume</t>
  </si>
  <si>
    <t xml:space="preserve">K-SAF-01, K-CMP-04</t>
  </si>
  <si>
    <t xml:space="preserve">TC-CRAWL-195: Police Pursuit
TC-CRAWL-198: Emergency vehicle not recognized
TC-CRAWL-272: EMV approaching in congestion: passage / move-over must be formed in slow traffic</t>
  </si>
  <si>
    <t xml:space="preserve">FI-PCP-06: Actor / object not detected (OMV, VRU, static obstacle missed).
FI-PCP-10: Incorrect object classification (incl. EMV not recognized / non-EMV taken for EMV).
FI-VI-04: Wrong prediction of other actor motion / intent (adjacent, opposite, VRU).
FI-VI-05: Incorrect traffic-rule application (right-of-way, speed rule, move-over, gap acceptance).</t>
  </si>
  <si>
    <t xml:space="preserve">O: object in target lane</t>
  </si>
  <si>
    <t xml:space="preserve">Foreign Object Debris (TORC-ODD-844)</t>
  </si>
  <si>
    <t xml:space="preserve">object size, distance from merge point, object kind</t>
  </si>
  <si>
    <t xml:space="preserve">Small debris (in ODD) / lost cargo or deformable object (Out-of-ODD)</t>
  </si>
  <si>
    <t xml:space="preserve">Check the target lane ahead of the merge point; do not merge onto an obstacle.</t>
  </si>
  <si>
    <t xml:space="preserve">T1, T5</t>
  </si>
  <si>
    <t xml:space="preserve">object_size [0.1..2 m]; distance_from_merge_point [0..150 m]; object_kind</t>
  </si>
  <si>
    <t xml:space="preserve">K-SAF-01, K-SAF-02</t>
  </si>
  <si>
    <t xml:space="preserve">Front obstacle avoidance</t>
  </si>
  <si>
    <t xml:space="preserve">Excessive Steering, Insufficient Steering, No Steering, Steering in opposite direction, Steering too late, Unintended Steering</t>
  </si>
  <si>
    <t xml:space="preserve">TC-CRAWL-210: Solid obstacle on ego path
TC-CRAWL-212: unclassified static object
TC-CRAWL-214: hidden static obstacle
TC-CRAWL-215: Debris with low reflectivity blending into shadowed pavement
TC-CRAWL-271: Unusual deformable object in lane (mattress, furniture, tarp) challenging classification</t>
  </si>
  <si>
    <t xml:space="preserve">FI-AIM-04: Overconfident output on out-of-distribution input (no uncertainty flag raised).
FI-PCP-06: Actor / object not detected (OMV, VRU, static obstacle missed).
FI-PCP-11: False positive actors / objects (ghost targets).
FI-PCP-12: Unstable / intermittent detection under intermittent occlusion.
FI-PCP-17: Degradation under specific environmental conditions not compensated (rain, fog, night, glare, shadows, low contrast).
FI-PCP-18: Out-of-distribution / unseen object class not handled safely (no safe default).
FI-VI-02: Plans trajectory leaving the ego lane to satisfy constraints (false-positive avoidance, MC constraints).</t>
  </si>
  <si>
    <t xml:space="preserve">Mandatory</t>
  </si>
  <si>
    <t xml:space="preserve">away from closure</t>
  </si>
  <si>
    <t xml:space="preserve">S / O: responders, vehicles, debris; B, D in open lane</t>
  </si>
  <si>
    <t xml:space="preserve">approach &gt; detect_scene &gt; decide &gt; change_lane &gt; pass_slow</t>
  </si>
  <si>
    <t xml:space="preserve">Improvised closure (not in map)</t>
  </si>
  <si>
    <t xml:space="preserve">closure position, responder proximity, traffic_volume</t>
  </si>
  <si>
    <t xml:space="preserve">Closure on left / right / center</t>
  </si>
  <si>
    <t xml:space="preserve">Slow early, move away from the scene, follow responder direction, pass at low speed.</t>
  </si>
  <si>
    <t xml:space="preserve">T1, T2, T4, T5</t>
  </si>
  <si>
    <t xml:space="preserve">closure_side; responder_distance_to_lane</t>
  </si>
  <si>
    <t xml:space="preserve">Front obstacle avoidance, Lateral clearance</t>
  </si>
  <si>
    <t xml:space="preserve">Excessive Steering, Insufficient Steering, No Steering, Steering for too long / stuck, Steering in opposite direction, Steering too late, Unintended Steering</t>
  </si>
  <si>
    <t xml:space="preserve">TC-CRAWL-266: Crash scene ahead: responders on foot + emergency lighting + debris field + improvised lane closure
TC-CRAWL-174: Accident</t>
  </si>
  <si>
    <t xml:space="preserve">FI-PCP-06: Actor / object not detected (OMV, VRU, static obstacle missed).
FI-PCP-08: Incorrect actor position (adjacent / opposite / crossing).
FI-PCP-09: Incorrect actor velocity (longitudinal / lateral).
FI-PCP-18: Out-of-distribution / unseen object class not handled safely (no safe default).
FI-VI-04: Wrong prediction of other actor motion / intent (adjacent, opposite, VRU).
FI-VI-05: Incorrect traffic-rule application (right-of-way, speed rule, move-over, gap acceptance).
FI-VI-06: Replanning too late for a dynamic change (cut-in, intrusion, lane shift).</t>
  </si>
  <si>
    <t xml:space="preserve">Actor slot model (from Torc Miro 'Concrete Scenario A / B')</t>
  </si>
  <si>
    <t xml:space="preserve">Miro Concrete B: B = Torc lead vehicle, D = Torc chase vehicle, E = controlled vehicle with 2 variants (holds SDT speed / accelerates).</t>
  </si>
  <si>
    <t xml:space="preserve">Slot</t>
  </si>
  <si>
    <t xml:space="preserve">Role</t>
  </si>
  <si>
    <t xml:space="preserve">Position</t>
  </si>
  <si>
    <t xml:space="preserve">Notes</t>
  </si>
  <si>
    <t xml:space="preserve">SDT</t>
  </si>
  <si>
    <t xml:space="preserve">Ego (system under test)</t>
  </si>
  <si>
    <t xml:space="preserve">Origin lane</t>
  </si>
  <si>
    <t xml:space="preserve">Torc SDT, tractor + 53 ft trailer (~22 m combination). Performs the lane change.</t>
  </si>
  <si>
    <t xml:space="preserve">A</t>
  </si>
  <si>
    <t xml:space="preserve">Lead, origin lane</t>
  </si>
  <si>
    <t xml:space="preserve">Origin lane, ahead</t>
  </si>
  <si>
    <t xml:space="preserve">Vehicle directly ahead of SDT in the origin lane. Miro Concrete A/B: vehicle A.</t>
  </si>
  <si>
    <t xml:space="preserve">B</t>
  </si>
  <si>
    <t xml:space="preserve">Lead, target lane</t>
  </si>
  <si>
    <t xml:space="preserve">Target lane, ahead</t>
  </si>
  <si>
    <t xml:space="preserve">Front boundary of the gap SDT moves into. Miro Concrete B: Torc lead vehicle when run on public road.</t>
  </si>
  <si>
    <t xml:space="preserve">C</t>
  </si>
  <si>
    <t xml:space="preserve">Follower, origin lane</t>
  </si>
  <si>
    <t xml:space="preserve">Origin lane, behind</t>
  </si>
  <si>
    <t xml:space="preserve">Vehicle behind SDT in the origin lane.</t>
  </si>
  <si>
    <t xml:space="preserve">D</t>
  </si>
  <si>
    <t xml:space="preserve">Follower, target lane</t>
  </si>
  <si>
    <t xml:space="preserve">Target lane, behind</t>
  </si>
  <si>
    <t xml:space="preserve">Rear boundary of the gap SDT moves into. Miro Concrete B: Torc chase vehicle when run on public road.</t>
  </si>
  <si>
    <t xml:space="preserve">E</t>
  </si>
  <si>
    <t xml:space="preserve">Far-lane vehicle, beside / behind</t>
  </si>
  <si>
    <t xml:space="preserve">Lane beyond target lane, beside or behind SDT</t>
  </si>
  <si>
    <t xml:space="preserve">Can merge into the same target lane as SDT (Miro Concrete B, vehicle E).</t>
  </si>
  <si>
    <t xml:space="preserve">F</t>
  </si>
  <si>
    <t xml:space="preserve">Far-lane vehicle, ahead</t>
  </si>
  <si>
    <t xml:space="preserve">Lane beyond target lane, ahead</t>
  </si>
  <si>
    <t xml:space="preserve">Can cut into the target-lane gap ahead of SDT.</t>
  </si>
  <si>
    <t xml:space="preserve">G</t>
  </si>
  <si>
    <t xml:space="preserve">Other-side adjacent vehicle</t>
  </si>
  <si>
    <t xml:space="preserve">Lane on the opposite side of the origin lane</t>
  </si>
  <si>
    <t xml:space="preserve">Only relevant when SDT is in a middle lane.</t>
  </si>
  <si>
    <t xml:space="preserve">S</t>
  </si>
  <si>
    <t xml:space="preserve">Shoulder actor / object</t>
  </si>
  <si>
    <t xml:space="preserve">Shoulder adjacent to SDT lanes</t>
  </si>
  <si>
    <t xml:space="preserve">Stopped EMV, disabled vehicle, workers, debris on shoulder.</t>
  </si>
  <si>
    <t xml:space="preserve">O</t>
  </si>
  <si>
    <t xml:space="preserve">Static object in lane</t>
  </si>
  <si>
    <t xml:space="preserve">Target or origin lane</t>
  </si>
  <si>
    <t xml:space="preserve">FOD, lost cargo, stopped vehicle, channelizing devices.</t>
  </si>
  <si>
    <t xml:space="preserve">Parameter dictionary: logical ranges for DO-Crawl I-35 South</t>
  </si>
  <si>
    <t xml:space="preserve">Status: ODD-quantified = from L1-L5_ODD_report_final.json; proposed = engineering default to review; GAP = needs L4 / ODD data before logical sampling.</t>
  </si>
  <si>
    <t xml:space="preserve">Parameter</t>
  </si>
  <si>
    <t xml:space="preserve">Meaning</t>
  </si>
  <si>
    <t xml:space="preserve">Unit</t>
  </si>
  <si>
    <t xml:space="preserve">Logical range (I-35 crawl)</t>
  </si>
  <si>
    <t xml:space="preserve">Source / note</t>
  </si>
  <si>
    <t xml:space="preserve">sdt_speed</t>
  </si>
  <si>
    <t xml:space="preserve">SDT speed at lane-change start</t>
  </si>
  <si>
    <t xml:space="preserve">mph</t>
  </si>
  <si>
    <t xml:space="preserve">45 .. 75</t>
  </si>
  <si>
    <t xml:space="preserve">ODD-quantified</t>
  </si>
  <si>
    <t xml:space="preserve">Speed Limit TORC-ODD-84: observed 10..75 mph on crawl routes; 70 and 75 mph = 94.4% of miles. Spec range 45..80 mph.</t>
  </si>
  <si>
    <t xml:space="preserve">lc_side</t>
  </si>
  <si>
    <t xml:space="preserve">Lane-change direction</t>
  </si>
  <si>
    <t xml:space="preserve">enum</t>
  </si>
  <si>
    <t xml:space="preserve">left, right</t>
  </si>
  <si>
    <t xml:space="preserve">proposed</t>
  </si>
  <si>
    <t xml:space="preserve">Both directions are legal on I-35 multi-lane sections (passing on the right allowed when safe, TX TRC 545.057).</t>
  </si>
  <si>
    <t xml:space="preserve">lane_count</t>
  </si>
  <si>
    <t xml:space="preserve">Number of lanes in SDT direction</t>
  </si>
  <si>
    <t xml:space="preserve">count</t>
  </si>
  <si>
    <t xml:space="preserve">2 .. 4</t>
  </si>
  <si>
    <t xml:space="preserve">Lane Count TORC-ODD-356: 1 lane 3.7%, 2 lanes 49.7%, 3 lanes 39.1%, 4 lanes 7.5% of miles. LC needs &gt;= 2.</t>
  </si>
  <si>
    <t xml:space="preserve">origin_lane_index</t>
  </si>
  <si>
    <t xml:space="preserve">SDT lane position</t>
  </si>
  <si>
    <t xml:space="preserve">rightmost, middle, leftmost</t>
  </si>
  <si>
    <t xml:space="preserve">Middle lane only when lane_count &gt;= 3 (46.6% of miles).</t>
  </si>
  <si>
    <t xml:space="preserve">lane_width</t>
  </si>
  <si>
    <t xml:space="preserve">Lane width</t>
  </si>
  <si>
    <t xml:space="preserve">m</t>
  </si>
  <si>
    <t xml:space="preserve">2.5 .. 6.5 (nominal 3.5 .. 3.75)</t>
  </si>
  <si>
    <t xml:space="preserve">Lane Width TORC-ODD-76 (HD map): 85.7% of miles in 3.5..3.75 m bin; &lt; 3.25 m about 0.1%.</t>
  </si>
  <si>
    <t xml:space="preserve">curvature</t>
  </si>
  <si>
    <t xml:space="preserve">Horizontal curvature at LC location</t>
  </si>
  <si>
    <t xml:space="preserve">1/m</t>
  </si>
  <si>
    <t xml:space="preserve">0 .. 0.0022 (spec)</t>
  </si>
  <si>
    <t xml:space="preserve">Curvature TORC-ODD-360: 98.3% straight; observed max 0.25 1/m (likely ramps, to confirm) vs spec max 2.2e-3.</t>
  </si>
  <si>
    <t xml:space="preserve">grade</t>
  </si>
  <si>
    <t xml:space="preserve">Longitudinal slope</t>
  </si>
  <si>
    <t xml:space="preserve">%</t>
  </si>
  <si>
    <t xml:space="preserve">-8 .. +8</t>
  </si>
  <si>
    <t xml:space="preserve">Slope TORC-ODD-79: observed -8..+8% vs spec +/-6% (discrepancy to raise).</t>
  </si>
  <si>
    <t xml:space="preserve">traffic_volume</t>
  </si>
  <si>
    <t xml:space="preserve">Hourly vehicle volume</t>
  </si>
  <si>
    <t xml:space="preserve">veh/h</t>
  </si>
  <si>
    <t xml:space="preserve">303 .. 1950</t>
  </si>
  <si>
    <t xml:space="preserve">TCDS via ODD report: 303.2..1950 veh/h.</t>
  </si>
  <si>
    <t xml:space="preserve">actor_kind</t>
  </si>
  <si>
    <t xml:space="preserve">Kind of each actor</t>
  </si>
  <si>
    <t xml:space="preserve">list</t>
  </si>
  <si>
    <t xml:space="preserve">passenger car, pickup, motorcycle, tractor-trailer, wide load, EMV, towed vehicle</t>
  </si>
  <si>
    <t xml:space="preserve">Mirrors Foretellix 'kinds' parameter. Kinds from TC catalogue L4 (TC-CRAWL-168..201).</t>
  </si>
  <si>
    <t xml:space="preserve">actor_speed_rel_to_sdt</t>
  </si>
  <si>
    <t xml:space="preserve">Speed of actor minus SDT speed</t>
  </si>
  <si>
    <t xml:space="preserve">-20 .. +30 (proposed)</t>
  </si>
  <si>
    <t xml:space="preserve">GAP</t>
  </si>
  <si>
    <t xml:space="preserve">No L4 kinematics on I-35 yet (relative speed distribution per lane). Needs TCDS per-lane speeds / TU enrichment.</t>
  </si>
  <si>
    <t xml:space="preserve">front_gap_target_lane</t>
  </si>
  <si>
    <t xml:space="preserve">Time gap SDT to B at LC start</t>
  </si>
  <si>
    <t xml:space="preserve">s</t>
  </si>
  <si>
    <t xml:space="preserve">0.5 .. 6 (proposed)</t>
  </si>
  <si>
    <t xml:space="preserve">Gap distribution in target lane not characterized (L4 gap).</t>
  </si>
  <si>
    <t xml:space="preserve">rear_gap_target_lane</t>
  </si>
  <si>
    <t xml:space="preserve">Time gap D to SDT rear at LC start</t>
  </si>
  <si>
    <t xml:space="preserve">Same: L4 gap acceptance data missing.</t>
  </si>
  <si>
    <t xml:space="preserve">rear_closing_speed</t>
  </si>
  <si>
    <t xml:space="preserve">Closing speed of D on SDT</t>
  </si>
  <si>
    <t xml:space="preserve">0 .. 30 (proposed)</t>
  </si>
  <si>
    <t xml:space="preserve">Fast-approach frequency unknown on corridor.</t>
  </si>
  <si>
    <t xml:space="preserve">actor_long_decel</t>
  </si>
  <si>
    <t xml:space="preserve">Deceleration of braking actor (A or B)</t>
  </si>
  <si>
    <t xml:space="preserve">m/s2</t>
  </si>
  <si>
    <t xml:space="preserve">1 .. 8 (proposed)</t>
  </si>
  <si>
    <t xml:space="preserve">Generic range from mild to emergency braking; corridor-specific data not available.</t>
  </si>
  <si>
    <t xml:space="preserve">actor_lc_start_time_rel_to_sdt</t>
  </si>
  <si>
    <t xml:space="preserve">Start of actor lane change relative to SDT lateral motion start</t>
  </si>
  <si>
    <t xml:space="preserve">-2 .. +3 (proposed)</t>
  </si>
  <si>
    <t xml:space="preserve">Drives the simultaneous-merge and cut-in families.</t>
  </si>
  <si>
    <t xml:space="preserve">actor_lateral_speed</t>
  </si>
  <si>
    <t xml:space="preserve">Lateral speed of merging / cutting-in actor</t>
  </si>
  <si>
    <t xml:space="preserve">m/s</t>
  </si>
  <si>
    <t xml:space="preserve">0.3 .. 1.5 (proposed)</t>
  </si>
  <si>
    <t xml:space="preserve">Cut-in / cut-out rates and dynamics: identified L4 gap (TCDS, CRIS).</t>
  </si>
  <si>
    <t xml:space="preserve">distance_to_mandatory_point</t>
  </si>
  <si>
    <t xml:space="preserve">Distance from LC start to lane drop / exit / taper</t>
  </si>
  <si>
    <t xml:space="preserve">100 .. 1600 (proposed)</t>
  </si>
  <si>
    <t xml:space="preserve">From map per site; work zones not in HD map yet (Work Zones TORC-FLD-1569 empty in report).</t>
  </si>
  <si>
    <t xml:space="preserve">marking_quality</t>
  </si>
  <si>
    <t xml:space="preserve">Lane boundary condition</t>
  </si>
  <si>
    <t xml:space="preserve">good, faded, missing, double exposure, temporary</t>
  </si>
  <si>
    <t xml:space="preserve">Lane Boundary TORC-FLD-1588 has no values in ODD report.</t>
  </si>
  <si>
    <t xml:space="preserve">rain</t>
  </si>
  <si>
    <t xml:space="preserve">Precipitation</t>
  </si>
  <si>
    <t xml:space="preserve">dry 87.8%, light 10.8%, moderate 1.1%, heavy 0.24%</t>
  </si>
  <si>
    <t xml:space="preserve">Rain TORC-ODD-27 (ERA5 hourly).</t>
  </si>
  <si>
    <t xml:space="preserve">wind</t>
  </si>
  <si>
    <t xml:space="preserve">Wind class</t>
  </si>
  <si>
    <t xml:space="preserve">calm .. near gale (fresh breeze and above 1.4%)</t>
  </si>
  <si>
    <t xml:space="preserve">Wind TORC-FLD-1559 (ERA5).</t>
  </si>
  <si>
    <t xml:space="preserve">sun_azimuth_vs_heading</t>
  </si>
  <si>
    <t xml:space="preserve">Sun position relative to SDT heading</t>
  </si>
  <si>
    <t xml:space="preserve">SE 62.0%, S 30.3%, SW 4.8%, E 2.2%</t>
  </si>
  <si>
    <t xml:space="preserve">Sun Angle TORC-ODD-36 (NOAA vs route headings).</t>
  </si>
  <si>
    <t xml:space="preserve">light</t>
  </si>
  <si>
    <t xml:space="preserve">Light condition</t>
  </si>
  <si>
    <t xml:space="preserve">day, dawn / dusk, night</t>
  </si>
  <si>
    <t xml:space="preserve">Solar radiation 0 W/m2 for 58.8% of hours (night) in ODD report.</t>
  </si>
  <si>
    <t xml:space="preserve">Scenario evaluation KPIs and checkers</t>
  </si>
  <si>
    <t xml:space="preserve">Categories follow the Torc Behavior Table columns for Lane Changes / Overtaking. Thresholds TBD unless noted; candidates must be verified.</t>
  </si>
  <si>
    <t xml:space="preserve">KPI ID</t>
  </si>
  <si>
    <t xml:space="preserve">Category</t>
  </si>
  <si>
    <t xml:space="preserve">Metric (OSC2 name)</t>
  </si>
  <si>
    <t xml:space="preserve">Definition</t>
  </si>
  <si>
    <t xml:space="preserve">Threshold</t>
  </si>
  <si>
    <t xml:space="preserve">Type</t>
  </si>
  <si>
    <t xml:space="preserve"># scenarios using</t>
  </si>
  <si>
    <t xml:space="preserve">K-SAF-01</t>
  </si>
  <si>
    <t xml:space="preserve">Safety</t>
  </si>
  <si>
    <t xml:space="preserve">no_collision</t>
  </si>
  <si>
    <t xml:space="preserve">No contact between SDT (tractor or trailer) and any actor or object</t>
  </si>
  <si>
    <t xml:space="preserve">bool</t>
  </si>
  <si>
    <t xml:space="preserve">Must be true</t>
  </si>
  <si>
    <t xml:space="preserve">Checker</t>
  </si>
  <si>
    <t xml:space="preserve">K-SAF-02</t>
  </si>
  <si>
    <t xml:space="preserve">sdt_min_ttc_to_vehicle</t>
  </si>
  <si>
    <t xml:space="preserve">Minimum time-to-collision between SDT and any actor during the scenario</t>
  </si>
  <si>
    <t xml:space="preserve">TBD (acceptance criteria, ISO 21448 Cl.6 gap)</t>
  </si>
  <si>
    <t xml:space="preserve">KPI</t>
  </si>
  <si>
    <t xml:space="preserve">K-SAF-03</t>
  </si>
  <si>
    <t xml:space="preserve">sdt_min_mttc_to_vehicle</t>
  </si>
  <si>
    <t xml:space="preserve">Minimum modified TTC (accounts for acceleration)</t>
  </si>
  <si>
    <t xml:space="preserve">TBD</t>
  </si>
  <si>
    <t xml:space="preserve">K-SAF-04</t>
  </si>
  <si>
    <t xml:space="preserve">min_lateral_clearance</t>
  </si>
  <si>
    <t xml:space="preserve">Minimum lateral distance between SDT swept path (incl. trailer) and adjacent actors</t>
  </si>
  <si>
    <t xml:space="preserve">K-SAF-05</t>
  </si>
  <si>
    <t xml:space="preserve">imposed_decel_on_rear_target_vehicle</t>
  </si>
  <si>
    <t xml:space="preserve">Deceleration that vehicle D must apply because of the SDT lane change</t>
  </si>
  <si>
    <t xml:space="preserve">Candidate: &lt;= 3 m/s2 (UN R79 / R157 lane-change criterion, to verify)</t>
  </si>
  <si>
    <t xml:space="preserve">KPI + checker</t>
  </si>
  <si>
    <t xml:space="preserve">K-SAF-06</t>
  </si>
  <si>
    <t xml:space="preserve">time_headway_to_new_lead_after_lc</t>
  </si>
  <si>
    <t xml:space="preserve">Time headway SDT to B once lane change is completed</t>
  </si>
  <si>
    <t xml:space="preserve">K-SAF-07</t>
  </si>
  <si>
    <t xml:space="preserve">boundary_straddle_duration</t>
  </si>
  <si>
    <t xml:space="preserve">Time the SDT occupies two lanes</t>
  </si>
  <si>
    <t xml:space="preserve">K-SAF-08</t>
  </si>
  <si>
    <t xml:space="preserve">abort_decision_correct</t>
  </si>
  <si>
    <t xml:space="preserve">When a trigger appears, SDT chooses the safer of continue / abort for the current phase</t>
  </si>
  <si>
    <t xml:space="preserve">K-CMP-01</t>
  </si>
  <si>
    <t xml:space="preserve">Traffic compliance</t>
  </si>
  <si>
    <t xml:space="preserve">signal_before_lateral_motion</t>
  </si>
  <si>
    <t xml:space="preserve">Turn signal active before lateral motion starts, and lead time</t>
  </si>
  <si>
    <t xml:space="preserve">bool / s</t>
  </si>
  <si>
    <t xml:space="preserve">Signal required (TX TRC 545.104); lead time TBD (candidate from UN R79 / R157, to verify)</t>
  </si>
  <si>
    <t xml:space="preserve">Checker + KPI</t>
  </si>
  <si>
    <t xml:space="preserve">K-CMP-02</t>
  </si>
  <si>
    <t xml:space="preserve">lc_made_safely</t>
  </si>
  <si>
    <t xml:space="preserve">Lane left only when movement can be made safely (TX TRC 545.060)</t>
  </si>
  <si>
    <t xml:space="preserve">K-CMP-03</t>
  </si>
  <si>
    <t xml:space="preserve">no_lc_across_prohibited_marking</t>
  </si>
  <si>
    <t xml:space="preserve">No lane change across solid line, gore, or work-zone restricted marking</t>
  </si>
  <si>
    <t xml:space="preserve">K-CMP-04</t>
  </si>
  <si>
    <t xml:space="preserve">move_over_compliance</t>
  </si>
  <si>
    <t xml:space="preserve">Vacate lane next to stopped EMV / TxDOT / tow vehicle, or slow 20 mph below limit (TX TRC 545.157)</t>
  </si>
  <si>
    <t xml:space="preserve">K-CMP-05</t>
  </si>
  <si>
    <t xml:space="preserve">pass_and_return_when_clear</t>
  </si>
  <si>
    <t xml:space="preserve">After overtaking, return only when safely clear of the overtaken vehicle (TX TRC 545.053)</t>
  </si>
  <si>
    <t xml:space="preserve">K-EFF-01</t>
  </si>
  <si>
    <t xml:space="preserve">Efficiency</t>
  </si>
  <si>
    <t xml:space="preserve">lc_completed</t>
  </si>
  <si>
    <t xml:space="preserve">SDT reached the target lane when the lane change was needed and feasible</t>
  </si>
  <si>
    <t xml:space="preserve">Must be true for mandatory LC before deadline</t>
  </si>
  <si>
    <t xml:space="preserve">K-EFF-02</t>
  </si>
  <si>
    <t xml:space="preserve">lc_duration</t>
  </si>
  <si>
    <t xml:space="preserve">Time from lateral motion start to centered in target lane</t>
  </si>
  <si>
    <t xml:space="preserve">K-EFF-03</t>
  </si>
  <si>
    <t xml:space="preserve">aborted_attempts</t>
  </si>
  <si>
    <t xml:space="preserve">Number of aborted lane-change attempts</t>
  </si>
  <si>
    <t xml:space="preserve">K-EFF-04</t>
  </si>
  <si>
    <t xml:space="preserve">speed_loss</t>
  </si>
  <si>
    <t xml:space="preserve">Speed lost vs desired speed due to the lane change or its delay</t>
  </si>
  <si>
    <t xml:space="preserve">K-CRT-01</t>
  </si>
  <si>
    <t xml:space="preserve">Courtesy</t>
  </si>
  <si>
    <t xml:space="preserve">max_lateral_accel_and_jerk</t>
  </si>
  <si>
    <t xml:space="preserve">Peak lateral acceleration and jerk of SDT</t>
  </si>
  <si>
    <t xml:space="preserve">m/s2, m/s3</t>
  </si>
  <si>
    <t xml:space="preserve">K-CRT-02</t>
  </si>
  <si>
    <t xml:space="preserve">no_forced_braking_of_others</t>
  </si>
  <si>
    <t xml:space="preserve">No other actor brakes harder than a comfort threshold because of SDT</t>
  </si>
  <si>
    <t xml:space="preserve">Candidate threshold TBD</t>
  </si>
  <si>
    <t xml:space="preserve">K-CRT-03</t>
  </si>
  <si>
    <t xml:space="preserve">yield_to_merging_traffic</t>
  </si>
  <si>
    <t xml:space="preserve">SDT moves over or adjusts speed to let on-ramp traffic merge when possible</t>
  </si>
  <si>
    <t xml:space="preserve">Should be true when feasible</t>
  </si>
  <si>
    <t xml:space="preserve">SDT task chain for Lane Change (solution independent)</t>
  </si>
  <si>
    <t xml:space="preserve">Answers the Miro sticky 'Don't have Tasks' and the Objectives items 'internal factors along the task chain' and 'KPIs on I/Os of the tasks (solution independent)'. SOTIF team stops here.</t>
  </si>
  <si>
    <t xml:space="preserve">Task</t>
  </si>
  <si>
    <t xml:space="preserve">Task (what the SDT must do)</t>
  </si>
  <si>
    <t xml:space="preserve">Inputs</t>
  </si>
  <si>
    <t xml:space="preserve">Outputs</t>
  </si>
  <si>
    <t xml:space="preserve">KPIs on task I/O (solution independent)</t>
  </si>
  <si>
    <t xml:space="preserve">Internal factors (FI) along this task</t>
  </si>
  <si>
    <t xml:space="preserve"># scenarios needing it</t>
  </si>
  <si>
    <t xml:space="preserve">T1</t>
  </si>
  <si>
    <t xml:space="preserve">Perceive road users around SDT in all slots (A to G, S, O), including the trailer-side blind zone</t>
  </si>
  <si>
    <t xml:space="preserve">Raw sensor data (camera, lidar, radar), trailer state</t>
  </si>
  <si>
    <t xml:space="preserve">Object list: position, velocity, class, existence confidence, per slot</t>
  </si>
  <si>
    <t xml:space="preserve">Detection range per slot vs required range (rear: closing speed x decision horizon); missed-detection rate per slot and per actor kind (motorcycle, low-contrast car); position error; velocity error; latency; track continuity during occlusion</t>
  </si>
  <si>
    <t xml:space="preserve">FI-SEN-01, FI-SEN-02, FI-SEN-08, FI-PCP-06, FI-PCP-07, FI-PCP-08, FI-PCP-09, FI-PCP-10, FI-PCP-12, FI-PCP-16, FI-PCP-17, FI-PCP-18, FI-AIM-01, FI-AIM-04</t>
  </si>
  <si>
    <t xml:space="preserve">T2</t>
  </si>
  <si>
    <t xml:space="preserve">Estimate lane geometry and the existence, type and legal availability of the target lane</t>
  </si>
  <si>
    <t xml:space="preserve">Perception lane features, HD map, localization</t>
  </si>
  <si>
    <t xml:space="preserve">Lane model, lane count, boundary type (dashed / solid), restrictions (gore, work zone, lane drop)</t>
  </si>
  <si>
    <t xml:space="preserve">Lateral boundary error; boundary-type classification accuracy (dashed vs solid); target-lane existence correctness; map vs perception consistency rate; ego lane assignment correctness</t>
  </si>
  <si>
    <t xml:space="preserve">FI-PCP-01, FI-PCP-02, FI-PCP-03, FI-PCP-04, FI-PCP-05, FI-PCP-14, FI-LOC-04, FI-LOC-05</t>
  </si>
  <si>
    <t xml:space="preserve">T3</t>
  </si>
  <si>
    <t xml:space="preserve">Predict intent and trajectories of relevant actors (B, D, E, F, A)</t>
  </si>
  <si>
    <t xml:space="preserve">Object list, lane model, signal states of other vehicles</t>
  </si>
  <si>
    <t xml:space="preserve">Predicted trajectories with uncertainty, lane-change intent of other actors</t>
  </si>
  <si>
    <t xml:space="preserve">Intent detection lead time (E merging, D accelerating); trajectory error at 3 s and 5 s; missed / false lane-change-intent rate</t>
  </si>
  <si>
    <t xml:space="preserve">FI-VI-04, FI-AIM-04, FI-PCP-09</t>
  </si>
  <si>
    <t xml:space="preserve">T4</t>
  </si>
  <si>
    <t xml:space="preserve">Decide that a lane change is needed (route, efficiency, courtesy, move-over, lane drop)</t>
  </si>
  <si>
    <t xml:space="preserve">Route, lane model, traffic state, rules</t>
  </si>
  <si>
    <t xml:space="preserve">Lane-change request with side, urgency and deadline (distance / time)</t>
  </si>
  <si>
    <t xml:space="preserve">Decision lead distance before mandatory point (lane drop, exit, work zone taper); unnecessary lane-change rate; missed mandatory lane change rate</t>
  </si>
  <si>
    <t xml:space="preserve">FI-VI-05, FI-PCP-14, FI-LOC-04</t>
  </si>
  <si>
    <t xml:space="preserve">T5</t>
  </si>
  <si>
    <t xml:space="preserve">Assess gap and feasibility (front and rear gap in target lane, imposed deceleration on D, own capability with load)</t>
  </si>
  <si>
    <t xml:space="preserve">Predicted trajectories, lane model, own capability envelope</t>
  </si>
  <si>
    <t xml:space="preserve">Go / no-go, selected gap, target speed profile</t>
  </si>
  <si>
    <t xml:space="preserve">Unsafe-gap acceptance rate (false accept); safe-gap rejection rate (false reject, efficiency); margin to threshold at decision time</t>
  </si>
  <si>
    <t xml:space="preserve">FI-VI-05, FI-VI-07, FI-VI-04</t>
  </si>
  <si>
    <t xml:space="preserve">T6</t>
  </si>
  <si>
    <t xml:space="preserve">Communicate intent (turn signal timing, side, continuity, cancel)</t>
  </si>
  <si>
    <t xml:space="preserve">Go decision, maneuver state</t>
  </si>
  <si>
    <t xml:space="preserve">Turn signal command</t>
  </si>
  <si>
    <t xml:space="preserve">Signal lead time before lateral motion; continuity until lane change completed; correct side; cancel after completion or abort; signal conspicuity to followers</t>
  </si>
  <si>
    <t xml:space="preserve">Communicate Intent function (HAZOP rows 169, 174); TC-CRAWL-273 to 277 (ego conspicuity)</t>
  </si>
  <si>
    <t xml:space="preserve">T7</t>
  </si>
  <si>
    <t xml:space="preserve">Plan the lane-change trajectory, including trailer swept path</t>
  </si>
  <si>
    <t xml:space="preserve">Selected gap, lane model, capability envelope</t>
  </si>
  <si>
    <t xml:space="preserve">Trajectory (lateral and longitudinal)</t>
  </si>
  <si>
    <t xml:space="preserve">Swept-path clearance to adjacent actors and boundaries; peak lateral acceleration and jerk; feasibility vs capability (load, grade, adhesion)</t>
  </si>
  <si>
    <t xml:space="preserve">FI-VI-01, FI-VI-02, FI-VI-07, FI-PCP-16</t>
  </si>
  <si>
    <t xml:space="preserve">T8</t>
  </si>
  <si>
    <t xml:space="preserve">Execute and monitor; decide continue vs abort (point of no return)</t>
  </si>
  <si>
    <t xml:space="preserve">Updated object list and predictions during maneuver</t>
  </si>
  <si>
    <t xml:space="preserve">Continue / abort decision, return trajectory</t>
  </si>
  <si>
    <t xml:space="preserve">Abort decision latency after trigger; time spent straddling the boundary; correctness of continue-vs-abort decision per phase</t>
  </si>
  <si>
    <t xml:space="preserve">FI-VI-06, FI-VI-04, FI-PCP-07</t>
  </si>
  <si>
    <t xml:space="preserve">T9</t>
  </si>
  <si>
    <t xml:space="preserve">Control the vehicle along the trajectory (lateral and longitudinal tracking, stability)</t>
  </si>
  <si>
    <t xml:space="preserve">Trajectory, vehicle state</t>
  </si>
  <si>
    <t xml:space="preserve">Steering, acceleration, deceleration commands</t>
  </si>
  <si>
    <t xml:space="preserve">Lateral tracking error; trailer off-tracking; stability margins (roll, yaw) under wind, curvature, grade</t>
  </si>
  <si>
    <t xml:space="preserve">FI-VI-07, FI-SEN-07 (control feedback)</t>
  </si>
  <si>
    <t xml:space="preserve">T10</t>
  </si>
  <si>
    <t xml:space="preserve">Complete and stabilize: center in target lane, cancel signal, re-establish following gap</t>
  </si>
  <si>
    <t xml:space="preserve">Vehicle state, object list</t>
  </si>
  <si>
    <t xml:space="preserve">Steady lane keeping, following distance restored</t>
  </si>
  <si>
    <t xml:space="preserve">Time to re-center; headway to new lead (B) after completion; signal cancelled</t>
  </si>
  <si>
    <t xml:space="preserve">FI-PCP-04, FI-VI-01</t>
  </si>
  <si>
    <t xml:space="preserve">Modifiers (mixable with any compatible scenario)</t>
  </si>
  <si>
    <t xml:space="preserve">Foretellix 'mix' concept: a modifier changes conditions without changing the scenario logic. Rain, wind, glare are modifiers, not separate scenarios.</t>
  </si>
  <si>
    <t xml:space="preserve">Modifier</t>
  </si>
  <si>
    <t xml:space="preserve">Condition</t>
  </si>
  <si>
    <t xml:space="preserve">ODD element</t>
  </si>
  <si>
    <t xml:space="preserve">Effect on the scenario</t>
  </si>
  <si>
    <t xml:space="preserve">TCs</t>
  </si>
  <si>
    <t xml:space="preserve">Applies to</t>
  </si>
  <si>
    <t xml:space="preserve"># scenarios listing it</t>
  </si>
  <si>
    <t xml:space="preserve">M-01</t>
  </si>
  <si>
    <t xml:space="preserve">Rain light / moderate / heavy</t>
  </si>
  <si>
    <t xml:space="preserve">Rain TORC-ODD-27</t>
  </si>
  <si>
    <t xml:space="preserve">Reduces sensor range and adhesion: larger gaps, longer LC</t>
  </si>
  <si>
    <t xml:space="preserve">TC-CRAWL-247, TC-CRAWL-248, TC-CRAWL-250</t>
  </si>
  <si>
    <t xml:space="preserve">All</t>
  </si>
  <si>
    <t xml:space="preserve">M-02</t>
  </si>
  <si>
    <t xml:space="preserve">Spray plume from trucks</t>
  </si>
  <si>
    <t xml:space="preserve">Occludes B, D, E when they are trucks</t>
  </si>
  <si>
    <t xml:space="preserve">TC-CRAWL-249, TC-CRAWL-274</t>
  </si>
  <si>
    <t xml:space="preserve">All with truck actors</t>
  </si>
  <si>
    <t xml:space="preserve">Crosswind / gusts</t>
  </si>
  <si>
    <t xml:space="preserve">Wind TORC-FLD-1559</t>
  </si>
  <si>
    <t xml:space="preserve">Lateral disturbance during lateral motion; trailer stability</t>
  </si>
  <si>
    <t xml:space="preserve">TC-CRAWL-225, TC-CRAWL-226, TC-CRAWL-227, TC-CRAWL-228</t>
  </si>
  <si>
    <t xml:space="preserve">M-04</t>
  </si>
  <si>
    <t xml:space="preserve">Low sun / glare</t>
  </si>
  <si>
    <t xml:space="preserve">Sun Angle TORC-ODD-36</t>
  </si>
  <si>
    <t xml:space="preserve">Camera degradation, washed-out signals of others and of SDT</t>
  </si>
  <si>
    <t xml:space="preserve">TC-CRAWL-219, TC-CRAWL-184, TC-CRAWL-273</t>
  </si>
  <si>
    <t xml:space="preserve">Night / low light</t>
  </si>
  <si>
    <t xml:space="preserve">Light (derived)</t>
  </si>
  <si>
    <t xml:space="preserve">Reduced passive detectability, markings invisible</t>
  </si>
  <si>
    <t xml:space="preserve">TC-CRAWL-217, TC-CRAWL-231, TC-CRAWL-058</t>
  </si>
  <si>
    <t xml:space="preserve">Dense traffic</t>
  </si>
  <si>
    <t xml:space="preserve">Vehicles TORC-FLD-30123 (TCDS volume)</t>
  </si>
  <si>
    <t xml:space="preserve">Smaller gaps, more actors in slots, occlusion</t>
  </si>
  <si>
    <t xml:space="preserve">TC-CRAWL-173, TC-CRAWL-186</t>
  </si>
  <si>
    <t xml:space="preserve">M-07</t>
  </si>
  <si>
    <t xml:space="preserve">Heat shimmer</t>
  </si>
  <si>
    <t xml:space="preserve">Air Temperature TORC-ODD-15</t>
  </si>
  <si>
    <t xml:space="preserve">Distorted camera returns at range</t>
  </si>
  <si>
    <t xml:space="preserve">TC-CRAWL-252, TC-CRAWL-251</t>
  </si>
  <si>
    <t xml:space="preserve">M-08</t>
  </si>
  <si>
    <t xml:space="preserve">Narrow lane</t>
  </si>
  <si>
    <t xml:space="preserve">Lane Width TORC-ODD-76</t>
  </si>
  <si>
    <t xml:space="preserve">Less lateral clearance for the trailer</t>
  </si>
  <si>
    <t xml:space="preserve">TC-CRAWL-027, TC-CRAWL-044</t>
  </si>
  <si>
    <t xml:space="preserve">M-09</t>
  </si>
  <si>
    <t xml:space="preserve">Curve / grade</t>
  </si>
  <si>
    <t xml:space="preserve">Curvature TORC-ODD-360, Slope TORC-ODD-79</t>
  </si>
  <si>
    <t xml:space="preserve">Sight distance, stability, stopping distance</t>
  </si>
  <si>
    <t xml:space="preserve">TC-CRAWL-032, TC-CRAWL-034, TC-CRAWL-039, TC-CRAWL-042</t>
  </si>
  <si>
    <t xml:space="preserve">M-10</t>
  </si>
  <si>
    <t xml:space="preserve">Sensor soiling / misalignment</t>
  </si>
  <si>
    <t xml:space="preserve">L0 vehicle state</t>
  </si>
  <si>
    <t xml:space="preserve">Degraded detection on one side</t>
  </si>
  <si>
    <t xml:space="preserve">TC-CRAWL-011, TC-CRAWL-012, TC-CRAWL-013</t>
  </si>
  <si>
    <t xml:space="preserve">M-11</t>
  </si>
  <si>
    <t xml:space="preserve">Low-contrast / low-reflectivity actor</t>
  </si>
  <si>
    <t xml:space="preserve">Vehicles TORC-FLD-30123</t>
  </si>
  <si>
    <t xml:space="preserve">Under-detection of the actor in the key slot</t>
  </si>
  <si>
    <t xml:space="preserve">TC-CRAWL-168, TC-CRAWL-169, TC-CRAWL-193</t>
  </si>
  <si>
    <t xml:space="preserve">Phase 1B link: Highway Lane Change HIRE rows &gt; scenarios that exercise them</t>
  </si>
  <si>
    <t xml:space="preserve">Source: 2026_SDT_HIRE_from_HAZOP_v1.xlsx, Use Case = Highway, Behavior = Lane Changes / Overtaking (61 rows).</t>
  </si>
  <si>
    <t xml:space="preserve">HIRE ID</t>
  </si>
  <si>
    <t xml:space="preserve">ODD condition</t>
  </si>
  <si>
    <t xml:space="preserve">Maneuver</t>
  </si>
  <si>
    <t xml:space="preserve">Hazard context</t>
  </si>
  <si>
    <t xml:space="preserve">Guideword</t>
  </si>
  <si>
    <t xml:space="preserve">Malfunction (unwanted behavior)</t>
  </si>
  <si>
    <t xml:space="preserve">Hazardous event</t>
  </si>
  <si>
    <t xml:space="preserve">Hazard</t>
  </si>
  <si>
    <t xml:space="preserve">Exercised by scenarios</t>
  </si>
  <si>
    <t xml:space="preserve"># scenarios</t>
  </si>
  <si>
    <t xml:space="preserve">HW_ Lane Changes / Overtaking_No Acceleration_01</t>
  </si>
  <si>
    <t xml:space="preserve">Nominal (dry / day / clear)</t>
  </si>
  <si>
    <t xml:space="preserve">Acceleration command</t>
  </si>
  <si>
    <t xml:space="preserve">Longitudinal speed</t>
  </si>
  <si>
    <t xml:space="preserve">NOT Providing</t>
  </si>
  <si>
    <t xml:space="preserve">No Acceleration</t>
  </si>
  <si>
    <t xml:space="preserve">Not providing acceleration (when needed) leading to crash with rear vehicle</t>
  </si>
  <si>
    <t xml:space="preserve">H3</t>
  </si>
  <si>
    <t xml:space="preserve">S2</t>
  </si>
  <si>
    <t xml:space="preserve">E3</t>
  </si>
  <si>
    <t xml:space="preserve">C1</t>
  </si>
  <si>
    <t xml:space="preserve">LC-NOM-02, LC-NOM-03, LC-TGT-01, LC-TGT-04, LC-CUR-01, LC-CUR-02, LC-CUR-03, LC-RD-07, LC-ABT-02, LC-OOD-01</t>
  </si>
  <si>
    <t xml:space="preserve">HW_ Lane Changes / Overtaking_Unintended Acceleration_01</t>
  </si>
  <si>
    <t xml:space="preserve">Providing when not needed</t>
  </si>
  <si>
    <t xml:space="preserve">Unintended Acceleration</t>
  </si>
  <si>
    <t xml:space="preserve">Providing acceleration when not needed leading to crash with front vehicle</t>
  </si>
  <si>
    <t xml:space="preserve">H2</t>
  </si>
  <si>
    <t xml:space="preserve">S3</t>
  </si>
  <si>
    <t xml:space="preserve">C3</t>
  </si>
  <si>
    <t xml:space="preserve">HW_ Lane Changes / Overtaking_Excessive Acceleration_01</t>
  </si>
  <si>
    <t xml:space="preserve">Providing more than needed</t>
  </si>
  <si>
    <t xml:space="preserve">Excessive Acceleration</t>
  </si>
  <si>
    <t xml:space="preserve">Providing acceleration more than needed leading to crash with front vehicle</t>
  </si>
  <si>
    <t xml:space="preserve">E2</t>
  </si>
  <si>
    <t xml:space="preserve">HW_ Lane Changes / Overtaking_No Acceleration_02</t>
  </si>
  <si>
    <t xml:space="preserve">Lateral control / stay-in-lane</t>
  </si>
  <si>
    <t xml:space="preserve">Not providing acceleration to stay in lane leading to crash with adjacent vehicle or obstacle</t>
  </si>
  <si>
    <t xml:space="preserve">H1</t>
  </si>
  <si>
    <t xml:space="preserve">LC-NOM-02, LC-TGT-05, LC-RD-06, LC-RD-07</t>
  </si>
  <si>
    <t xml:space="preserve">HW_ Lane Changes / Overtaking_Unintended Acceleration_02</t>
  </si>
  <si>
    <t xml:space="preserve">Providing acceleration when not needed to stay in lane leading to crash with front vehicle</t>
  </si>
  <si>
    <t xml:space="preserve">HW_ Lane Changes / Overtaking_Insufficient Acceleration_01</t>
  </si>
  <si>
    <t xml:space="preserve">Providing less than needed</t>
  </si>
  <si>
    <t xml:space="preserve">Insufficient Acceleration</t>
  </si>
  <si>
    <t xml:space="preserve">Providing less acceleration than needed to stay in lane leading to crash with rear vehicle</t>
  </si>
  <si>
    <t xml:space="preserve">E4</t>
  </si>
  <si>
    <t xml:space="preserve">HW_ Lane Changes / Overtaking_Excessive Acceleration_02</t>
  </si>
  <si>
    <t xml:space="preserve">Providing more acceleration than needed to stay in lane leading to crash with front vehicle</t>
  </si>
  <si>
    <t xml:space="preserve">HW_ Lane Changes / Overtaking_Unintended Acceleration_03</t>
  </si>
  <si>
    <t xml:space="preserve">Vehicle stability</t>
  </si>
  <si>
    <t xml:space="preserve">Providing acceleration when not needed leading to vehicle instability</t>
  </si>
  <si>
    <t xml:space="preserve">H5</t>
  </si>
  <si>
    <t xml:space="preserve">LC-NOM-01, LC-RD-07, LC-ABT-01</t>
  </si>
  <si>
    <t xml:space="preserve">HW_ Lane Changes / Overtaking_Insufficient Acceleration_02</t>
  </si>
  <si>
    <t xml:space="preserve">Providing less acceleration than needed leading to vehicle instability</t>
  </si>
  <si>
    <t xml:space="preserve">HW_ Lane Changes / Overtaking_Excessive Acceleration_03</t>
  </si>
  <si>
    <t xml:space="preserve">Providing more acceleration than needed leading to vehicle instability</t>
  </si>
  <si>
    <t xml:space="preserve">HW_ Lane Changes / Overtaking_No Deceleration_01</t>
  </si>
  <si>
    <t xml:space="preserve">Deceleration command</t>
  </si>
  <si>
    <t xml:space="preserve">No Deceleration</t>
  </si>
  <si>
    <t xml:space="preserve">Not providing deceleration (when needed) leading to crash with front vehicle</t>
  </si>
  <si>
    <t xml:space="preserve">HW_ Lane Changes / Overtaking_Unintended Deceleration_01</t>
  </si>
  <si>
    <t xml:space="preserve">Unintended Deceleration</t>
  </si>
  <si>
    <t xml:space="preserve">Providing deceleration when not needed leading to crash with rear vehicle</t>
  </si>
  <si>
    <t xml:space="preserve">C2</t>
  </si>
  <si>
    <t xml:space="preserve">HW_ Lane Changes / Overtaking_Excessive Deceleration_01</t>
  </si>
  <si>
    <t xml:space="preserve">Excessive Deceleration</t>
  </si>
  <si>
    <t xml:space="preserve">Providing deceleration more than needed leading to crash with rear vehicle</t>
  </si>
  <si>
    <t xml:space="preserve">HW_ Lane Changes / Overtaking_No Deceleration_02</t>
  </si>
  <si>
    <t xml:space="preserve">Not providing deceleration to stay in lane leading to crash with adjacent vehicle or obstacle</t>
  </si>
  <si>
    <t xml:space="preserve">HW_ Lane Changes / Overtaking_Unintended Deceleration_02</t>
  </si>
  <si>
    <t xml:space="preserve">Providing deceleration when not needed to stay in lane leading to crash with rear vehicle</t>
  </si>
  <si>
    <t xml:space="preserve">HW_ Lane Changes / Overtaking_Insufficient Deceleration_01</t>
  </si>
  <si>
    <t xml:space="preserve">Insufficient Deceleration</t>
  </si>
  <si>
    <t xml:space="preserve">Providing less deceleration than needed to stay in lane leading to crash with front vehicle</t>
  </si>
  <si>
    <t xml:space="preserve">HW_ Lane Changes / Overtaking_Excessive Deceleration_02</t>
  </si>
  <si>
    <t xml:space="preserve">Providing more deceleration than needed to stay in lane leading to crash with rear vehicle</t>
  </si>
  <si>
    <t xml:space="preserve">HW_ Lane Changes / Overtaking_No Deceleration_03</t>
  </si>
  <si>
    <t xml:space="preserve">Not providing deceleration when needed leading to vehicle instability</t>
  </si>
  <si>
    <t xml:space="preserve">HW_ Lane Changes / Overtaking_Unintended Deceleration_03</t>
  </si>
  <si>
    <t xml:space="preserve">Providing deceleration when not needed leading to vehicle instability</t>
  </si>
  <si>
    <t xml:space="preserve">HW_ Lane Changes / Overtaking_Insufficient Deceleration_02</t>
  </si>
  <si>
    <t xml:space="preserve">Providing less deceleration than needed leading to vehicle instability</t>
  </si>
  <si>
    <t xml:space="preserve">HW_ Lane Changes / Overtaking_Excessive Deceleration_03</t>
  </si>
  <si>
    <t xml:space="preserve">Providing more deceleration than needed leading to vehicle instability</t>
  </si>
  <si>
    <t xml:space="preserve">HW_ Lane Changes / Overtaking_No Steering_01</t>
  </si>
  <si>
    <t xml:space="preserve">Steering command</t>
  </si>
  <si>
    <t xml:space="preserve">No Steering</t>
  </si>
  <si>
    <t xml:space="preserve">Not Providing steering (when needed) leading to crash with adjacent vehicle or obstacle</t>
  </si>
  <si>
    <t xml:space="preserve">LC-NOM-01, LC-TGT-02, LC-RD-01, LC-RD-02, LC-RD-04, LC-RD-06, LC-RD-08, LC-ABT-02</t>
  </si>
  <si>
    <t xml:space="preserve">HW_ Lane Changes / Overtaking_Unintended Steering_01</t>
  </si>
  <si>
    <t xml:space="preserve">Unintended Steering</t>
  </si>
  <si>
    <t xml:space="preserve">Providing steering when not needed leading to crash with adjacent vehicle/obstacle</t>
  </si>
  <si>
    <t xml:space="preserve">HW_ Lane Changes / Overtaking_Insufficient Steering_01</t>
  </si>
  <si>
    <t xml:space="preserve">Insufficient Steering</t>
  </si>
  <si>
    <t xml:space="preserve">Providing less steering than needed leading to crash with adjacent vehicle or obstacle</t>
  </si>
  <si>
    <t xml:space="preserve">HW_ Lane Changes / Overtaking_Excessive Steering_01</t>
  </si>
  <si>
    <t xml:space="preserve">Excessive Steering</t>
  </si>
  <si>
    <t xml:space="preserve">Providing more steering than needed leading to crash with adjacent vehicle or obstacle</t>
  </si>
  <si>
    <t xml:space="preserve">HW_ Lane Changes / Overtaking_Steering in opposite direction_01</t>
  </si>
  <si>
    <t xml:space="preserve">Opposite direction</t>
  </si>
  <si>
    <t xml:space="preserve">Steering in opposite direction</t>
  </si>
  <si>
    <t xml:space="preserve">Providing steering in opposite direction leading to crash with adjacent vehicle or obstacle</t>
  </si>
  <si>
    <t xml:space="preserve">HW_ Lane Changes / Overtaking_Steering for too long / stuck_01</t>
  </si>
  <si>
    <t xml:space="preserve">Duration too long / stuck</t>
  </si>
  <si>
    <t xml:space="preserve">Steering for too long / stuck</t>
  </si>
  <si>
    <t xml:space="preserve">Providing steering for too long leading to crash with adjacent vehicle or obstacle</t>
  </si>
  <si>
    <t xml:space="preserve">HW_ Lane Changes / Overtaking_No Steering_02</t>
  </si>
  <si>
    <t xml:space="preserve">Not providing steering leading to crash with front vehicle or obstacle</t>
  </si>
  <si>
    <t xml:space="preserve">LC-CUR-01, LC-CUR-02, LC-OOD-03, LC-OOD-04</t>
  </si>
  <si>
    <t xml:space="preserve">HW_ Lane Changes / Overtaking_Unintended Steering_02</t>
  </si>
  <si>
    <t xml:space="preserve">HW_ Lane Changes / Overtaking_Insufficient Steering_02</t>
  </si>
  <si>
    <t xml:space="preserve">Providing less steering than needed leading to crash with rear vehicle</t>
  </si>
  <si>
    <t xml:space="preserve">HW_ Lane Changes / Overtaking_Excessive Steering_02</t>
  </si>
  <si>
    <t xml:space="preserve">Providing more steering than needed leading to crash with adjacent vehicle</t>
  </si>
  <si>
    <t xml:space="preserve">HW_ Lane Changes / Overtaking_Steering in opposite direction_02</t>
  </si>
  <si>
    <t xml:space="preserve">HW_ Lane Changes / Overtaking_Steering too late_01</t>
  </si>
  <si>
    <t xml:space="preserve">Too late</t>
  </si>
  <si>
    <t xml:space="preserve">Steering too late</t>
  </si>
  <si>
    <t xml:space="preserve">Providing steering too late leading to OMV crash with obstacle</t>
  </si>
  <si>
    <t xml:space="preserve">H4</t>
  </si>
  <si>
    <t xml:space="preserve">HW_ Lane Changes / Overtaking_No Steering_03</t>
  </si>
  <si>
    <t xml:space="preserve">Not providing steering when needed leading to vehicle instability</t>
  </si>
  <si>
    <t xml:space="preserve">HW_ Lane Changes / Overtaking_Unintended Steering_03</t>
  </si>
  <si>
    <t xml:space="preserve">Providing steering when not needed leading to vehicle instability</t>
  </si>
  <si>
    <t xml:space="preserve">HW_ Lane Changes / Overtaking_Insufficient Steering_03</t>
  </si>
  <si>
    <t xml:space="preserve">Providing less steering than needed leading to vehicle instability</t>
  </si>
  <si>
    <t xml:space="preserve">HW_ Lane Changes / Overtaking_Excessive Steering_03</t>
  </si>
  <si>
    <t xml:space="preserve">Providing more steering than needed leading to vehicle instability</t>
  </si>
  <si>
    <t xml:space="preserve">HW_ Lane Changes / Overtaking_Steering for too long / stuck_02</t>
  </si>
  <si>
    <t xml:space="preserve">Providing steering for too long leading to vehicle instability</t>
  </si>
  <si>
    <t xml:space="preserve">HW_ Lane Changes / Overtaking_No Steering_04</t>
  </si>
  <si>
    <t xml:space="preserve">Not providing steering when needed to keep lateral clearance leading to crash with adjacent vehicle or obstacle</t>
  </si>
  <si>
    <t xml:space="preserve">LC-NOM-02, LC-NOM-03, LC-NOM-04, LC-TGT-01, LC-TGT-02, LC-TGT-03, LC-TGT-05, LC-TGT-06, LC-TGT-07, LC-CUR-02, LC-RD-01, LC-RD-02, LC-RD-03, LC-RD-05, LC-ABT-01, LC-OOD-01, LC-OOD-02, LC-OOD-04</t>
  </si>
  <si>
    <t xml:space="preserve">HW_ Lane Changes / Overtaking_Unintended Steering_04</t>
  </si>
  <si>
    <t xml:space="preserve">Providing steering when not needed reducing lateral clearance leading to crash with adjacent vehicle or obstacle</t>
  </si>
  <si>
    <t xml:space="preserve">HW_ Lane Changes / Overtaking_Insufficient Steering_04</t>
  </si>
  <si>
    <t xml:space="preserve">HW_ Lane Changes / Overtaking_Excessive Steering_04</t>
  </si>
  <si>
    <t xml:space="preserve">HW_ Lane Changes / Overtaking_Steering in opposite direction_03</t>
  </si>
  <si>
    <t xml:space="preserve">HW_ Lane Changes / Overtaking_Steering for too long / stuck_03</t>
  </si>
  <si>
    <t xml:space="preserve">HW_ Lane Changes / Overtaking_No Acceleration_03</t>
  </si>
  <si>
    <t xml:space="preserve">Longitudinal gap</t>
  </si>
  <si>
    <t xml:space="preserve">Not providing acceleration when needed to keep longitudinal gap leading to crash with rear vehicle</t>
  </si>
  <si>
    <t xml:space="preserve">LC-NOM-02, LC-NOM-03, LC-NOM-04, LC-TGT-01, LC-TGT-03, LC-TGT-04, LC-CUR-01, LC-CUR-03, LC-RD-01, LC-RD-02, LC-RD-03, LC-RD-04, LC-RD-05, LC-OOD-02</t>
  </si>
  <si>
    <t xml:space="preserve">HW_ Lane Changes / Overtaking_Unintended Acceleration_04</t>
  </si>
  <si>
    <t xml:space="preserve">Providing acceleration when not needed reducing gap leading to crash with front vehicle</t>
  </si>
  <si>
    <t xml:space="preserve">HW_ Lane Changes / Overtaking_Insufficient Acceleration_03</t>
  </si>
  <si>
    <t xml:space="preserve">Providing less acceleration than needed leading to crash with rear vehicle</t>
  </si>
  <si>
    <t xml:space="preserve">HW_ Lane Changes / Overtaking_Excessive Acceleration_04</t>
  </si>
  <si>
    <t xml:space="preserve">Providing more acceleration than needed reducing gap leading to crash with front vehicle</t>
  </si>
  <si>
    <t xml:space="preserve">HW_ Lane Changes / Overtaking_No Deceleration_04</t>
  </si>
  <si>
    <t xml:space="preserve">Not providing deceleration when needed to keep longitudinal gap leading to crash with front vehicle</t>
  </si>
  <si>
    <t xml:space="preserve">HW_ Lane Changes / Overtaking_Unintended Deceleration_04</t>
  </si>
  <si>
    <t xml:space="preserve">HW_ Lane Changes / Overtaking_Insufficient Deceleration_03</t>
  </si>
  <si>
    <t xml:space="preserve">Providing less deceleration than needed leading to crash with front vehicle</t>
  </si>
  <si>
    <t xml:space="preserve">HW_ Lane Changes / Overtaking_Excessive Deceleration_04</t>
  </si>
  <si>
    <t xml:space="preserve">Providing more deceleration than needed leading to crash with rear vehicle</t>
  </si>
  <si>
    <t xml:space="preserve">HW_ Lane Changes / Overtaking_No Turn Signal_01</t>
  </si>
  <si>
    <t xml:space="preserve">Turn Signal command</t>
  </si>
  <si>
    <t xml:space="preserve">Signal intent for maneuver</t>
  </si>
  <si>
    <t xml:space="preserve">No Turn Signal</t>
  </si>
  <si>
    <t xml:space="preserve">NOT Providing turn signal (when needed) leading to crash with adjacent vehicle</t>
  </si>
  <si>
    <t xml:space="preserve">LC-NOM-01, LC-NOM-02, LC-TGT-02, LC-CUR-03</t>
  </si>
  <si>
    <t xml:space="preserve">HW_ Lane Changes / Overtaking_Unintended Turn Signal_01</t>
  </si>
  <si>
    <t xml:space="preserve">Unintended Turn Signal</t>
  </si>
  <si>
    <t xml:space="preserve">Providing turn signal (when not needed) leading to OMV crash with other OMV</t>
  </si>
  <si>
    <t xml:space="preserve">HW_ Lane Changes / Overtaking_Turn Signal in opposite direction_01</t>
  </si>
  <si>
    <t xml:space="preserve">Turn Signal in opposite direction</t>
  </si>
  <si>
    <t xml:space="preserve">Providing turn signal in opposite direction leading to crash with adjacent vehicle</t>
  </si>
  <si>
    <t xml:space="preserve">HW_ Lane Changes / Overtaking_Turn Signal too late_01</t>
  </si>
  <si>
    <t xml:space="preserve">Turn Signal too late</t>
  </si>
  <si>
    <t xml:space="preserve">Providing turn signal too late leading to crash with adjacent vehicle</t>
  </si>
  <si>
    <t xml:space="preserve">HW_ Lane Changes / Overtaking_No Turn Signal_02</t>
  </si>
  <si>
    <t xml:space="preserve">Misleading signal (not needed)</t>
  </si>
  <si>
    <t xml:space="preserve">Providing turn signal when not needed leading to crash with rear, front or adjacent vehicle</t>
  </si>
  <si>
    <t xml:space="preserve">LC-NOM-01, LC-NOM-04, LC-ABT-01</t>
  </si>
  <si>
    <t xml:space="preserve">HW_ Lane Changes / Overtaking_Unintended Turn Signal_02</t>
  </si>
  <si>
    <t xml:space="preserve">HW_ Lane Changes / Overtaking_Turn Signal in opposite direction_02</t>
  </si>
  <si>
    <t xml:space="preserve">Providing turn signal in the opposite direction leading to crash with rear, front or adjacent vehicle</t>
  </si>
  <si>
    <t xml:space="preserve">HW_ Lane Changes / Overtaking_Turn Signal too late_02</t>
  </si>
  <si>
    <t xml:space="preserve">Providing turn signal too late leading to crash with rear, front or adjacent vehicle</t>
  </si>
  <si>
    <t xml:space="preserve">HW_ Lane Changes / Overtaking_Excessive Steering_05</t>
  </si>
  <si>
    <t xml:space="preserve">Wind — strong crosswind / gusts</t>
  </si>
  <si>
    <t xml:space="preserve">Providing more steering than needed combined with a wind gust leading to trailer sway / rollover</t>
  </si>
  <si>
    <t xml:space="preserve">Exploded join: scenario x triggering condition x functional insufficiency</t>
  </si>
  <si>
    <t xml:space="preserve">One row per (scenario, TC, FI). Filterable for the FI tree / SOTIF Cl.7 work.</t>
  </si>
  <si>
    <t xml:space="preserve">Scenario</t>
  </si>
  <si>
    <t xml:space="preserve">Scenario name</t>
  </si>
  <si>
    <t xml:space="preserve">TC ID</t>
  </si>
  <si>
    <t xml:space="preserve">Layer</t>
  </si>
  <si>
    <t xml:space="preserve">Triggering condition</t>
  </si>
  <si>
    <t xml:space="preserve">TC hazards</t>
  </si>
  <si>
    <t xml:space="preserve">FI ID</t>
  </si>
  <si>
    <t xml:space="preserve">FI block</t>
  </si>
  <si>
    <t xml:space="preserve">Functional insufficiency</t>
  </si>
  <si>
    <t xml:space="preserve">TC-CRAWL-055</t>
  </si>
  <si>
    <t xml:space="preserve">L1</t>
  </si>
  <si>
    <t xml:space="preserve">Edge Lines</t>
  </si>
  <si>
    <t xml:space="preserve">Missing lane marking</t>
  </si>
  <si>
    <t xml:space="preserve">FI-PCP-01</t>
  </si>
  <si>
    <t xml:space="preserve">Perception</t>
  </si>
  <si>
    <t xml:space="preserve">Lane markings not detected (no lane data provided to VI).</t>
  </si>
  <si>
    <t xml:space="preserve">FI-PCP-02</t>
  </si>
  <si>
    <t xml:space="preserve">Lane markings detected with insufficient precision or inconsistent performance.</t>
  </si>
  <si>
    <t xml:space="preserve">FI-PCP-05</t>
  </si>
  <si>
    <t xml:space="preserve">False positive lanes accepted (fake / shadow / skid-mark lanes).</t>
  </si>
  <si>
    <t xml:space="preserve">TC-CRAWL-060</t>
  </si>
  <si>
    <t xml:space="preserve">damaged lane markings</t>
  </si>
  <si>
    <t xml:space="preserve">TC-CRAWL-067</t>
  </si>
  <si>
    <t xml:space="preserve">Single broken white line</t>
  </si>
  <si>
    <t xml:space="preserve">Worn/faded broken white line</t>
  </si>
  <si>
    <t xml:space="preserve">TC-CRAWL-068</t>
  </si>
  <si>
    <t xml:space="preserve">Irregular dash spacing (misread as solid line)</t>
  </si>
  <si>
    <t xml:space="preserve">FI-PCP-10</t>
  </si>
  <si>
    <t xml:space="preserve">Incorrect object classification (incl. EMV not recognized / non-EMV taken for EMV).</t>
  </si>
  <si>
    <t xml:space="preserve">FI-PCP-14</t>
  </si>
  <si>
    <t xml:space="preserve">Traffic sign / signal not detected or misclassified (incl. temporary signage).</t>
  </si>
  <si>
    <t xml:space="preserve">TC-CRAWL-225</t>
  </si>
  <si>
    <t xml:space="preserve">L5</t>
  </si>
  <si>
    <t xml:space="preserve">Constant Wind and Gust Combinations</t>
  </si>
  <si>
    <t xml:space="preserve">crosswing</t>
  </si>
  <si>
    <t xml:space="preserve">H1, H5</t>
  </si>
  <si>
    <t xml:space="preserve">FI-PCP-17</t>
  </si>
  <si>
    <t xml:space="preserve">Degradation under specific environmental conditions not compensated (rain, fog, night, glare, shadows, low contrast).</t>
  </si>
  <si>
    <t xml:space="preserve">FI-SEN-02</t>
  </si>
  <si>
    <t xml:space="preserve">Sensing</t>
  </si>
  <si>
    <t xml:space="preserve">Sensor data of insufficient quality (resolution, SNR, range) for the downstream task.</t>
  </si>
  <si>
    <t xml:space="preserve">TC-CRAWL-227</t>
  </si>
  <si>
    <t xml:space="preserve">high wind gust</t>
  </si>
  <si>
    <t xml:space="preserve">FI-VI-07</t>
  </si>
  <si>
    <t xml:space="preserve">Vehicle Intent</t>
  </si>
  <si>
    <t xml:space="preserve">Incorrect assumption on own capability envelope (braking / steering limits vs load, adhesion, grade).</t>
  </si>
  <si>
    <t xml:space="preserve">TC-CRAWL-168</t>
  </si>
  <si>
    <t xml:space="preserve">L4</t>
  </si>
  <si>
    <t xml:space="preserve">Passenger Automobile</t>
  </si>
  <si>
    <t xml:space="preserve">Vehicle with color with low contrast to environment</t>
  </si>
  <si>
    <t xml:space="preserve">FI-PCP-06</t>
  </si>
  <si>
    <t xml:space="preserve">Actor / object not detected (OMV, VRU, static obstacle missed).</t>
  </si>
  <si>
    <t xml:space="preserve">FI-PCP-08</t>
  </si>
  <si>
    <t xml:space="preserve">Incorrect actor position (adjacent / opposite / crossing).</t>
  </si>
  <si>
    <t xml:space="preserve">FI-PCP-09</t>
  </si>
  <si>
    <t xml:space="preserve">Incorrect actor velocity (longitudinal / lateral).</t>
  </si>
  <si>
    <t xml:space="preserve">FI-VI-04</t>
  </si>
  <si>
    <t xml:space="preserve">Wrong prediction of other actor motion / intent (adjacent, opposite, VRU).</t>
  </si>
  <si>
    <t xml:space="preserve">FI-VI-06</t>
  </si>
  <si>
    <t xml:space="preserve">Replanning too late for a dynamic change (cut-in, intrusion, lane shift).</t>
  </si>
  <si>
    <t xml:space="preserve">TC-CRAWL-169</t>
  </si>
  <si>
    <t xml:space="preserve">Vehicle with low reflectivity</t>
  </si>
  <si>
    <t xml:space="preserve">TC-CRAWL-173</t>
  </si>
  <si>
    <t xml:space="preserve">Too many vehicles / Dense traffic</t>
  </si>
  <si>
    <t xml:space="preserve">TC-CRAWL-186</t>
  </si>
  <si>
    <t xml:space="preserve">Vehicle partially occluded by another vehicle</t>
  </si>
  <si>
    <t xml:space="preserve">FI-PCP-12</t>
  </si>
  <si>
    <t xml:space="preserve">Unstable / intermittent detection under intermittent occlusion.</t>
  </si>
  <si>
    <t xml:space="preserve">TC-CRAWL-176</t>
  </si>
  <si>
    <t xml:space="preserve">Following too close</t>
  </si>
  <si>
    <t xml:space="preserve">TC-CRAWL-134</t>
  </si>
  <si>
    <t xml:space="preserve">L2</t>
  </si>
  <si>
    <t xml:space="preserve">Left lane for passing only sign</t>
  </si>
  <si>
    <t xml:space="preserve">Sign missed leading to incorrect lane-use assumption</t>
  </si>
  <si>
    <t xml:space="preserve">H6, H1</t>
  </si>
  <si>
    <t xml:space="preserve">TC-CRAWL-187</t>
  </si>
  <si>
    <t xml:space="preserve">Trucks</t>
  </si>
  <si>
    <t xml:space="preserve">Large vehicle configuration</t>
  </si>
  <si>
    <t xml:space="preserve">TC-CRAWL-189</t>
  </si>
  <si>
    <t xml:space="preserve">Wide-Load vehicle</t>
  </si>
  <si>
    <t xml:space="preserve">TC-CRAWL-192</t>
  </si>
  <si>
    <t xml:space="preserve">Trailer swerving/swaying</t>
  </si>
  <si>
    <t xml:space="preserve">TC-CRAWL-014</t>
  </si>
  <si>
    <t xml:space="preserve">L0</t>
  </si>
  <si>
    <t xml:space="preserve">Sensor Suite</t>
  </si>
  <si>
    <t xml:space="preserve">Sensor field-of-view obstruction by cargo/mount</t>
  </si>
  <si>
    <t xml:space="preserve">FI-PCP-16</t>
  </si>
  <si>
    <t xml:space="preserve">Incorrect trailer position / configuration (or trailer in wrong coordinate frame).</t>
  </si>
  <si>
    <t xml:space="preserve">TC-CRAWL-179</t>
  </si>
  <si>
    <t xml:space="preserve">Too Fast</t>
  </si>
  <si>
    <t xml:space="preserve">TC-CRAWL-175</t>
  </si>
  <si>
    <t xml:space="preserve">Aggressive Behavior</t>
  </si>
  <si>
    <t xml:space="preserve">TC-CRAWL-171</t>
  </si>
  <si>
    <t xml:space="preserve">Vehicle moving out of lane</t>
  </si>
  <si>
    <t xml:space="preserve">TC-CRAWL-181</t>
  </si>
  <si>
    <t xml:space="preserve">Erratic Behavior</t>
  </si>
  <si>
    <t xml:space="preserve">TC-CRAWL-184</t>
  </si>
  <si>
    <t xml:space="preserve">Turn signal washed out by glare / burnt-out bulb</t>
  </si>
  <si>
    <t xml:space="preserve">TC-CRAWL-185</t>
  </si>
  <si>
    <t xml:space="preserve">Brake lights vs. hazard lights misclassified</t>
  </si>
  <si>
    <t xml:space="preserve">TC-CRAWL-039</t>
  </si>
  <si>
    <t xml:space="preserve">Lane Grade</t>
  </si>
  <si>
    <t xml:space="preserve">Downhill grade increasing stopping distance</t>
  </si>
  <si>
    <t xml:space="preserve">H2, H3, H5</t>
  </si>
  <si>
    <t xml:space="preserve">FI-PCP-04</t>
  </si>
  <si>
    <t xml:space="preserve">Incorrect lane position / geometry estimate delivered (lateral position, curvature).</t>
  </si>
  <si>
    <t xml:space="preserve">FI-VI-01</t>
  </si>
  <si>
    <t xml:space="preserve">Plans trajectory following an incorrect ego lane (propagates FI-PCP-04 / FI-LOC-05).</t>
  </si>
  <si>
    <t xml:space="preserve">TC-CRAWL-193</t>
  </si>
  <si>
    <t xml:space="preserve">Flat trailer side blending with sky/background (under-detection)</t>
  </si>
  <si>
    <t xml:space="preserve">TC-CRAWL-012</t>
  </si>
  <si>
    <t xml:space="preserve">Dirty/occluded sensor lens</t>
  </si>
  <si>
    <t xml:space="preserve">FI-SEN-03</t>
  </si>
  <si>
    <t xml:space="preserve">Sensor configuration / calibration incorrect (wrong parameters, drift).</t>
  </si>
  <si>
    <t xml:space="preserve">FI-SEN-04</t>
  </si>
  <si>
    <t xml:space="preserve">Sensor mounting misaligned / data in unexpected coordinate frame (incl. factory mispositioning).</t>
  </si>
  <si>
    <t xml:space="preserve">TC-CRAWL-200</t>
  </si>
  <si>
    <t xml:space="preserve">Motorcycle</t>
  </si>
  <si>
    <t xml:space="preserve">Small radar/visual cross-section reducing detection range</t>
  </si>
  <si>
    <t xml:space="preserve">FI-PCP-07</t>
  </si>
  <si>
    <t xml:space="preserve">Actor provided too late (perception latency in collision-critical situation).</t>
  </si>
  <si>
    <t xml:space="preserve">TC-CRAWL-201</t>
  </si>
  <si>
    <t xml:space="preserve">Motorcycle riding in vehicle blind spot due to narrow profile</t>
  </si>
  <si>
    <t xml:space="preserve">TC-CRAWL-188</t>
  </si>
  <si>
    <t xml:space="preserve">Special cargo type</t>
  </si>
  <si>
    <t xml:space="preserve">TC-CRAWL-191</t>
  </si>
  <si>
    <t xml:space="preserve">Jackknifing</t>
  </si>
  <si>
    <t xml:space="preserve">H2, H1</t>
  </si>
  <si>
    <t xml:space="preserve">TC-CRAWL-174</t>
  </si>
  <si>
    <t xml:space="preserve">Accident</t>
  </si>
  <si>
    <t xml:space="preserve">H2, H3</t>
  </si>
  <si>
    <t xml:space="preserve">TC-CRAWL-182</t>
  </si>
  <si>
    <t xml:space="preserve">Stopped in Lane</t>
  </si>
  <si>
    <t xml:space="preserve">TC-CRAWL-210</t>
  </si>
  <si>
    <t xml:space="preserve">Static Objects</t>
  </si>
  <si>
    <t xml:space="preserve">Solid obstacle on ego path</t>
  </si>
  <si>
    <t xml:space="preserve">FI-PCP-11</t>
  </si>
  <si>
    <t xml:space="preserve">False positive actors / objects (ghost targets).</t>
  </si>
  <si>
    <t xml:space="preserve">FI-PCP-18</t>
  </si>
  <si>
    <t xml:space="preserve">Out-of-distribution / unseen object class not handled safely (no safe default).</t>
  </si>
  <si>
    <t xml:space="preserve">FI-VI-02</t>
  </si>
  <si>
    <t xml:space="preserve">Plans trajectory leaving the ego lane to satisfy constraints (false-positive avoidance, MC constraints).</t>
  </si>
  <si>
    <t xml:space="preserve">TC-CRAWL-273</t>
  </si>
  <si>
    <t xml:space="preserve">Ego conspicuity (new element)</t>
  </si>
  <si>
    <t xml:space="preserve">Low sun behind the SDT washing out brake / turn signals for followers</t>
  </si>
  <si>
    <t xml:space="preserve">H4, H3</t>
  </si>
  <si>
    <t xml:space="preserve">TC-CRAWL-274</t>
  </si>
  <si>
    <t xml:space="preserve">Dense spray plume behind trailer obscuring rear light units</t>
  </si>
  <si>
    <t xml:space="preserve">(none mapped)</t>
  </si>
  <si>
    <t xml:space="preserve">TC-CRAWL-024</t>
  </si>
  <si>
    <t xml:space="preserve">Lane Count</t>
  </si>
  <si>
    <t xml:space="preserve">Unmarked lane count change (add/drop)</t>
  </si>
  <si>
    <t xml:space="preserve">FI-LOC-05</t>
  </si>
  <si>
    <t xml:space="preserve">Localization &amp; Map</t>
  </si>
  <si>
    <t xml:space="preserve">Incorrect lane assignment (ego located in wrong lane of the carriageway).</t>
  </si>
  <si>
    <t xml:space="preserve">TC-CRAWL-046</t>
  </si>
  <si>
    <t xml:space="preserve">Traffic Travel Lane</t>
  </si>
  <si>
    <t xml:space="preserve">lane ends</t>
  </si>
  <si>
    <t xml:space="preserve">TC-CRAWL-047</t>
  </si>
  <si>
    <t xml:space="preserve">Lane merges into adjacent lane without warning</t>
  </si>
  <si>
    <t xml:space="preserve">TC-CRAWL-148</t>
  </si>
  <si>
    <t xml:space="preserve">interchange lane drops without an optional exit lanes</t>
  </si>
  <si>
    <t xml:space="preserve">Lane drop not anticipated (mandatory exit not flagged in time)</t>
  </si>
  <si>
    <t xml:space="preserve">H1, H3</t>
  </si>
  <si>
    <t xml:space="preserve">FI-VI-05</t>
  </si>
  <si>
    <t xml:space="preserve">Incorrect traffic-rule application (right-of-way, speed rule, move-over, gap acceptance).</t>
  </si>
  <si>
    <t xml:space="preserve">TC-CRAWL-079</t>
  </si>
  <si>
    <t xml:space="preserve">Merge Arrow Lane Marking</t>
  </si>
  <si>
    <t xml:space="preserve">Faded merge arrow marking</t>
  </si>
  <si>
    <t xml:space="preserve">TC-CRAWL-140</t>
  </si>
  <si>
    <t xml:space="preserve">merge sign</t>
  </si>
  <si>
    <t xml:space="preserve">Merge warning sign missed/obscured</t>
  </si>
  <si>
    <t xml:space="preserve">TC-CRAWL-240</t>
  </si>
  <si>
    <t xml:space="preserve">L3</t>
  </si>
  <si>
    <t xml:space="preserve">Work Zones (new element)</t>
  </si>
  <si>
    <t xml:space="preserve">Temporary work-zone markings contradicting permanent markings</t>
  </si>
  <si>
    <t xml:space="preserve">FI-PCP-03</t>
  </si>
  <si>
    <t xml:space="preserve">Non-standard / unconventional markings not recognized.</t>
  </si>
  <si>
    <t xml:space="preserve">TC-CRAWL-241</t>
  </si>
  <si>
    <t xml:space="preserve">Shifted / temporary lanes not reflected in the map</t>
  </si>
  <si>
    <t xml:space="preserve">FI-LOC-04</t>
  </si>
  <si>
    <t xml:space="preserve">Offline map incorrect or stale vs reality.</t>
  </si>
  <si>
    <t xml:space="preserve">TC-CRAWL-242</t>
  </si>
  <si>
    <t xml:space="preserve">Channelizing devices (cones, barrels, barriers) misclassified or not detected</t>
  </si>
  <si>
    <t xml:space="preserve">TC-CRAWL-243</t>
  </si>
  <si>
    <t xml:space="preserve">Temporary reduced-speed work-zone signage missed</t>
  </si>
  <si>
    <t xml:space="preserve">FI-PCP-13</t>
  </si>
  <si>
    <t xml:space="preserve">Speed limit not detected or incorrect value provided.</t>
  </si>
  <si>
    <t xml:space="preserve">TC-CRAWL-244</t>
  </si>
  <si>
    <t xml:space="preserve">Workers adjacent to live lane (inside marked work zone)</t>
  </si>
  <si>
    <t xml:space="preserve">TC-CRAWL-245</t>
  </si>
  <si>
    <t xml:space="preserve">Night work zone with glare from work lights</t>
  </si>
  <si>
    <t xml:space="preserve">TC-CRAWL-238</t>
  </si>
  <si>
    <t xml:space="preserve">L6</t>
  </si>
  <si>
    <t xml:space="preserve">Map</t>
  </si>
  <si>
    <t xml:space="preserve">Stale/outdated map not reflecting recent construction changes</t>
  </si>
  <si>
    <t xml:space="preserve">TC-CRAWL-049</t>
  </si>
  <si>
    <t xml:space="preserve">Weaving Lane</t>
  </si>
  <si>
    <t xml:space="preserve">Short weave distance between merge and diverge</t>
  </si>
  <si>
    <t xml:space="preserve">TC-CRAWL-050</t>
  </si>
  <si>
    <t xml:space="preserve">High-density lane-changing traffic within weave section</t>
  </si>
  <si>
    <t xml:space="preserve">TC-CRAWL-097</t>
  </si>
  <si>
    <t xml:space="preserve">Diagonal Ramp</t>
  </si>
  <si>
    <t xml:space="preserve">Acute ramp merge angle reducing mainline visibility</t>
  </si>
  <si>
    <t xml:space="preserve">TC-CRAWL-101</t>
  </si>
  <si>
    <t xml:space="preserve">Exit/Off-Ramp</t>
  </si>
  <si>
    <t xml:space="preserve">Short/blocked deceleration lane</t>
  </si>
  <si>
    <t xml:space="preserve">TC-CRAWL-102</t>
  </si>
  <si>
    <t xml:space="preserve">Exit gore misread as a usable lane</t>
  </si>
  <si>
    <t xml:space="preserve">TC-CRAWL-144</t>
  </si>
  <si>
    <t xml:space="preserve">interchange guide signs</t>
  </si>
  <si>
    <t xml:space="preserve">Guide sign misread, leading to wrong lane selection for interchange</t>
  </si>
  <si>
    <t xml:space="preserve">TC-CRAWL-145</t>
  </si>
  <si>
    <t xml:space="preserve">exit direction signs</t>
  </si>
  <si>
    <t xml:space="preserve">Exit direction sign obscured, causing a late lane change</t>
  </si>
  <si>
    <t xml:space="preserve">TC-CRAWL-146</t>
  </si>
  <si>
    <t xml:space="preserve">exit gore signs</t>
  </si>
  <si>
    <t xml:space="preserve">Gore sign/marking misread, ambiguous exit-vs-through lane</t>
  </si>
  <si>
    <t xml:space="preserve">TC-CRAWL-147</t>
  </si>
  <si>
    <t xml:space="preserve">pull-through signs</t>
  </si>
  <si>
    <t xml:space="preserve">Pull-through sign missed, causing incorrect lane assumption at a split</t>
  </si>
  <si>
    <t xml:space="preserve">TC-CRAWL-052</t>
  </si>
  <si>
    <t xml:space="preserve">Merging Lane</t>
  </si>
  <si>
    <t xml:space="preserve">Vehicle merging at high speed differential</t>
  </si>
  <si>
    <t xml:space="preserve">TC-CRAWL-099</t>
  </si>
  <si>
    <t xml:space="preserve">Entry/On-Ramp</t>
  </si>
  <si>
    <t xml:space="preserve">Short/blocked acceleration lane</t>
  </si>
  <si>
    <t xml:space="preserve">H3, H1</t>
  </si>
  <si>
    <t xml:space="preserve">TC-CRAWL-100</t>
  </si>
  <si>
    <t xml:space="preserve">High speed differential with mainline traffic</t>
  </si>
  <si>
    <t xml:space="preserve">TC-CRAWL-265</t>
  </si>
  <si>
    <t xml:space="preserve">Actor rule violation</t>
  </si>
  <si>
    <t xml:space="preserve">Vehicle failing to yield at merge despite signage</t>
  </si>
  <si>
    <t xml:space="preserve">TC-CRAWL-025</t>
  </si>
  <si>
    <t xml:space="preserve">Miscounted lanes due to missing boundary markings</t>
  </si>
  <si>
    <t xml:space="preserve">TC-CRAWL-061</t>
  </si>
  <si>
    <t xml:space="preserve">shadows resembling lane markings</t>
  </si>
  <si>
    <t xml:space="preserve">TC-CRAWL-064</t>
  </si>
  <si>
    <t xml:space="preserve">skid marks resembling lane markings</t>
  </si>
  <si>
    <t xml:space="preserve">TC-CRAWL-065</t>
  </si>
  <si>
    <t xml:space="preserve">Double-exposure marking (old markings not fully removed)</t>
  </si>
  <si>
    <t xml:space="preserve">TC-CRAWL-032</t>
  </si>
  <si>
    <t xml:space="preserve">Horizontal Lane Curvature</t>
  </si>
  <si>
    <t xml:space="preserve">tight curve</t>
  </si>
  <si>
    <t xml:space="preserve">TC-CRAWL-034</t>
  </si>
  <si>
    <t xml:space="preserve">Reduced sight distance around curve</t>
  </si>
  <si>
    <t xml:space="preserve">TC-CRAWL-036</t>
  </si>
  <si>
    <t xml:space="preserve">high lane grade</t>
  </si>
  <si>
    <t xml:space="preserve">TC-CRAWL-042</t>
  </si>
  <si>
    <t xml:space="preserve">Vertical Curve</t>
  </si>
  <si>
    <t xml:space="preserve">Crest curve blocking forward line of sight</t>
  </si>
  <si>
    <t xml:space="preserve">TC-CRAWL-001</t>
  </si>
  <si>
    <t xml:space="preserve">Trailer Configuration</t>
  </si>
  <si>
    <t xml:space="preserve">High trailer weight</t>
  </si>
  <si>
    <t xml:space="preserve">H5, H2</t>
  </si>
  <si>
    <t xml:space="preserve">TC-CRAWL-006</t>
  </si>
  <si>
    <t xml:space="preserve">Unsecured/shifting cargo</t>
  </si>
  <si>
    <t xml:space="preserve">H5, H1</t>
  </si>
  <si>
    <t xml:space="preserve">TC-CRAWL-237</t>
  </si>
  <si>
    <t xml:space="preserve">Incorrect map data</t>
  </si>
  <si>
    <t xml:space="preserve">TC-CRAWL-239</t>
  </si>
  <si>
    <t xml:space="preserve">Map-reported lane count mismatching actual painted lanes</t>
  </si>
  <si>
    <t xml:space="preserve">TC-CRAWL-141</t>
  </si>
  <si>
    <t xml:space="preserve">added lanes</t>
  </si>
  <si>
    <t xml:space="preserve">Added-lane sign/marking mismatch with actual lane count</t>
  </si>
  <si>
    <t xml:space="preserve">TC-CRAWL-232</t>
  </si>
  <si>
    <t xml:space="preserve">GNSS</t>
  </si>
  <si>
    <t xml:space="preserve">Incorrect gnss position</t>
  </si>
  <si>
    <t xml:space="preserve">FI-SEN-06</t>
  </si>
  <si>
    <t xml:space="preserve">GNSS data incorrect or absent.</t>
  </si>
  <si>
    <t xml:space="preserve">FI-LOC-01</t>
  </si>
  <si>
    <t xml:space="preserve">Incorrect global pose (GNSS+IMU fusion error).</t>
  </si>
  <si>
    <t xml:space="preserve">FI-LOC-02</t>
  </si>
  <si>
    <t xml:space="preserve">Local frame drift over time.</t>
  </si>
  <si>
    <t xml:space="preserve">TC-CRAWL-251</t>
  </si>
  <si>
    <t xml:space="preserve">Air Temperature (new element)</t>
  </si>
  <si>
    <t xml:space="preserve">High ambient temperature causing sensor / compute thermal derating</t>
  </si>
  <si>
    <t xml:space="preserve">TC-CRAWL-196</t>
  </si>
  <si>
    <t xml:space="preserve">Emergency Vehicles</t>
  </si>
  <si>
    <t xml:space="preserve">Active emergency lights washed out by daylight glare</t>
  </si>
  <si>
    <t xml:space="preserve">H1, H2, H6</t>
  </si>
  <si>
    <t xml:space="preserve">TC-CRAWL-197</t>
  </si>
  <si>
    <t xml:space="preserve">Unmarked emergency vehicle lacking distinctive livery</t>
  </si>
  <si>
    <t xml:space="preserve">TC-CRAWL-198</t>
  </si>
  <si>
    <t xml:space="preserve">Emergency vehicle not recognized</t>
  </si>
  <si>
    <t xml:space="preserve">TC-CRAWL-199</t>
  </si>
  <si>
    <t xml:space="preserve">Non Emergency vehicle recognized as emergency</t>
  </si>
  <si>
    <t xml:space="preserve">TC-CRAWL-183</t>
  </si>
  <si>
    <t xml:space="preserve">Stopped on Shoulder</t>
  </si>
  <si>
    <t xml:space="preserve">TC-CRAWL-195</t>
  </si>
  <si>
    <t xml:space="preserve">Police Pursuit</t>
  </si>
  <si>
    <t xml:space="preserve">TC-CRAWL-272</t>
  </si>
  <si>
    <t xml:space="preserve">EMV in congestion</t>
  </si>
  <si>
    <t xml:space="preserve">EMV approaching in congestion: passage / move-over must be formed in slow traffic</t>
  </si>
  <si>
    <t xml:space="preserve">H6, H3</t>
  </si>
  <si>
    <t xml:space="preserve">TC-CRAWL-212</t>
  </si>
  <si>
    <t xml:space="preserve">unclassified static object</t>
  </si>
  <si>
    <t xml:space="preserve">TC-CRAWL-214</t>
  </si>
  <si>
    <t xml:space="preserve">hidden static obstacle</t>
  </si>
  <si>
    <t xml:space="preserve">TC-CRAWL-215</t>
  </si>
  <si>
    <t xml:space="preserve">Debris with low reflectivity blending into shadowed pavement</t>
  </si>
  <si>
    <t xml:space="preserve">TC-CRAWL-271</t>
  </si>
  <si>
    <t xml:space="preserve">OOD object</t>
  </si>
  <si>
    <t xml:space="preserve">Unusual deformable object in lane (mattress, furniture, tarp) challenging classification</t>
  </si>
  <si>
    <t xml:space="preserve">FI-AIM-04</t>
  </si>
  <si>
    <t xml:space="preserve">AI model</t>
  </si>
  <si>
    <t xml:space="preserve">Overconfident output on out-of-distribution input (no uncertainty flag raised).</t>
  </si>
  <si>
    <t xml:space="preserve">TC-CRAWL-266</t>
  </si>
  <si>
    <t xml:space="preserve">Crash scene (compound)</t>
  </si>
  <si>
    <t xml:space="preserve">Crash scene ahead: responders on foot + emergency lighting + debris field + improvised lane closure</t>
  </si>
  <si>
    <t xml:space="preserve">Coverage stats (live formulas)</t>
  </si>
  <si>
    <t xml:space="preserve">Name</t>
  </si>
  <si>
    <t xml:space="preserve"># HIRE links (sum)</t>
  </si>
  <si>
    <t xml:space="preserve">Total</t>
  </si>
  <si>
    <t xml:space="preserve">Check</t>
  </si>
  <si>
    <t xml:space="preserve">Value</t>
  </si>
  <si>
    <t xml:space="preserve">Expected</t>
  </si>
  <si>
    <t xml:space="preserve">HIRE Lane Change rows</t>
  </si>
  <si>
    <t xml:space="preserve">61</t>
  </si>
  <si>
    <t xml:space="preserve">HIRE rows exercised by &gt;= 1 scenario</t>
  </si>
  <si>
    <t xml:space="preserve">equal to total</t>
  </si>
  <si>
    <t xml:space="preserve">HIRE rows not exercised</t>
  </si>
  <si>
    <t xml:space="preserve">0</t>
  </si>
  <si>
    <t xml:space="preserve">Scenario x TC x FI rows</t>
  </si>
  <si>
    <t xml:space="preserve">Distinct TCs used (see note)</t>
  </si>
  <si>
    <t xml:space="preserve">computed at build</t>
  </si>
  <si>
    <t xml:space="preserve">Distinct FIs reached (see note)</t>
  </si>
  <si>
    <t xml:space="preserve">of 42 in FI list</t>
  </si>
  <si>
    <t xml:space="preserve">Scenarios In-ODD</t>
  </si>
  <si>
    <t xml:space="preserve">Scenarios with [Out-of-ODD] content</t>
  </si>
  <si>
    <t xml:space="preserve">Parameters marked GAP</t>
  </si>
  <si>
    <t xml:space="preserve">Note: distinct TC / FI counts are written as values computed by the build script (set operations), not formulas.</t>
  </si>
  <si>
    <t xml:space="preserve">Gaps and open points</t>
  </si>
  <si>
    <t xml:space="preserve">Topic</t>
  </si>
  <si>
    <t xml:space="preserve">Gap</t>
  </si>
  <si>
    <t xml:space="preserve">Proposed action / owner</t>
  </si>
  <si>
    <t xml:space="preserve">G-01</t>
  </si>
  <si>
    <t xml:space="preserve">Task chain</t>
  </si>
  <si>
    <t xml:space="preserve">Torc has no defined SDT-level tasks (Miro red sticky 'Don't have Tasks'). T1..T10 in this file are a solution-independent proposal to validate with Behavior / Planning teams.</t>
  </si>
  <si>
    <t xml:space="preserve">Validate T1..T10 with Matthieu and the planning team; map to AV3.0 components only after (solution-dependent step).</t>
  </si>
  <si>
    <t xml:space="preserve">G-02</t>
  </si>
  <si>
    <t xml:space="preserve">L4 kinematics</t>
  </si>
  <si>
    <t xml:space="preserve">Relative speeds, gap distributions, cut-in / merge rates per lane on I-35 are not characterized. Logical ranges for 7 parameters are marked GAP.</t>
  </si>
  <si>
    <t xml:space="preserve">TCDS per-lane speeds (Matthieu), TU enrichment (Marwan), CCTV sampling (Neil).</t>
  </si>
  <si>
    <t xml:space="preserve">G-03</t>
  </si>
  <si>
    <t xml:space="preserve">Acceptance thresholds</t>
  </si>
  <si>
    <t xml:space="preserve">All KPI thresholds are TBD (same critical gap as ISO 21448 Cl.6 acceptance criteria). Candidate values cited from UN R79 / R157 must be verified before use.</t>
  </si>
  <si>
    <t xml:space="preserve">Decide thresholds with Safety + Behavior teams; link to AVSC00006 metrics claim (EiS Behavior).</t>
  </si>
  <si>
    <t xml:space="preserve">G-04</t>
  </si>
  <si>
    <t xml:space="preserve">ODD data gaps</t>
  </si>
  <si>
    <t xml:space="preserve">Lane Boundary, Work Zones, Shoulder Presence have no values in the ODD report; Curvature and Slope observed ranges exceed spec ranges.</t>
  </si>
  <si>
    <t xml:space="preserve">Raise with ODD owners; until then these parameters stay proposed.</t>
  </si>
  <si>
    <t xml:space="preserve">G-05</t>
  </si>
  <si>
    <t xml:space="preserve">Foretellix library</t>
  </si>
  <si>
    <t xml:space="preserve">Public Foretellix docs confirm the structure (actors, phases, parameters, coverage with buckets, KPIs) and some scenario names (sut_cut_out, vehicle_cut_in, lead_vehicle_with_cut_in, vehicle_cut_out_exposing_vehicle). The full V-Suite is licensed.</t>
  </si>
  <si>
    <t xml:space="preserve">Check whether Torc has a Foretify / V-Suite license; if yes, map each LC-* scenario to the library scenario and reuse its coverage model.</t>
  </si>
  <si>
    <t xml:space="preserve">G-06</t>
  </si>
  <si>
    <t xml:space="preserve">HFS link</t>
  </si>
  <si>
    <t xml:space="preserve">HFS IDs (HFS-001..138) are linked by key 'Highway x Lane Changes / Overtaking x Hazard' because the HFS workbook was not in the shared folder.</t>
  </si>
  <si>
    <t xml:space="preserve">Add HFS IDs when the HFS file is synced.</t>
  </si>
  <si>
    <t xml:space="preserve">G-07</t>
  </si>
  <si>
    <t xml:space="preserve">HIRE version</t>
  </si>
  <si>
    <t xml:space="preserve">Traceability uses HIRE v1 IDs for Highway Lane Change (61 rows). v2 back-fill did not touch Highway Lane Change, so IDs should be identical.</t>
  </si>
  <si>
    <t xml:space="preserve">Confirm against HIRE v2.</t>
  </si>
</sst>
</file>

<file path=xl/styles.xml><?xml version="1.0" encoding="utf-8"?>
<styleSheet xmlns="http://schemas.openxmlformats.org/spreadsheetml/2006/main">
  <numFmts count="1">
    <numFmt numFmtId="164" formatCode="General"/>
  </numFmts>
  <fonts count="13">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9"/>
      <color rgb="FF595959"/>
      <name val="Arial"/>
      <family val="0"/>
      <charset val="1"/>
    </font>
    <font>
      <b val="true"/>
      <sz val="10"/>
      <color rgb="FF1F3864"/>
      <name val="Arial"/>
      <family val="0"/>
      <charset val="1"/>
    </font>
    <font>
      <sz val="10"/>
      <name val="Arial"/>
      <family val="0"/>
      <charset val="1"/>
    </font>
    <font>
      <b val="true"/>
      <sz val="10"/>
      <color rgb="FFFFFFFF"/>
      <name val="Arial"/>
      <family val="0"/>
      <charset val="1"/>
    </font>
    <font>
      <b val="true"/>
      <sz val="10"/>
      <name val="Arial"/>
      <family val="0"/>
      <charset val="1"/>
    </font>
    <font>
      <sz val="9"/>
      <name val="Arial"/>
      <family val="0"/>
      <charset val="1"/>
    </font>
    <font>
      <sz val="10"/>
      <name val="Arial"/>
      <family val="2"/>
    </font>
    <font>
      <i val="true"/>
      <sz val="9"/>
      <name val="Arial"/>
      <family val="0"/>
      <charset val="1"/>
    </font>
  </fonts>
  <fills count="12">
    <fill>
      <patternFill patternType="none"/>
    </fill>
    <fill>
      <patternFill patternType="gray125"/>
    </fill>
    <fill>
      <patternFill patternType="solid">
        <fgColor rgb="FF1F3864"/>
        <bgColor rgb="FF333333"/>
      </patternFill>
    </fill>
    <fill>
      <patternFill patternType="solid">
        <fgColor rgb="FFE2EFDA"/>
        <bgColor rgb="FFDDEBF7"/>
      </patternFill>
    </fill>
    <fill>
      <patternFill patternType="solid">
        <fgColor rgb="FFDDEBF7"/>
        <bgColor rgb="FFEDE7F6"/>
      </patternFill>
    </fill>
    <fill>
      <patternFill patternType="solid">
        <fgColor rgb="FFFFF2CC"/>
        <bgColor rgb="FFFCE4D6"/>
      </patternFill>
    </fill>
    <fill>
      <patternFill patternType="solid">
        <fgColor rgb="FFFCE4D6"/>
        <bgColor rgb="FFFFF2CC"/>
      </patternFill>
    </fill>
    <fill>
      <patternFill patternType="solid">
        <fgColor rgb="FFEDE7F6"/>
        <bgColor rgb="FFDDEBF7"/>
      </patternFill>
    </fill>
    <fill>
      <patternFill patternType="solid">
        <fgColor rgb="FFF4B084"/>
        <bgColor rgb="FFFFC7CE"/>
      </patternFill>
    </fill>
    <fill>
      <patternFill patternType="solid">
        <fgColor rgb="FFC6EFCE"/>
        <bgColor rgb="FFE2EFDA"/>
      </patternFill>
    </fill>
    <fill>
      <patternFill patternType="solid">
        <fgColor rgb="FFFFEB9C"/>
        <bgColor rgb="FFFFF2CC"/>
      </patternFill>
    </fill>
    <fill>
      <patternFill patternType="solid">
        <fgColor rgb="FFFFC7CE"/>
        <bgColor rgb="FFFCE4D6"/>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9" fillId="3" borderId="1" xfId="0" applyFont="true" applyBorder="true" applyAlignment="true" applyProtection="false">
      <alignment horizontal="general" vertical="top" textRotation="0" wrapText="true" indent="0" shrinkToFit="false"/>
      <protection locked="true" hidden="false"/>
    </xf>
    <xf numFmtId="164" fontId="10" fillId="3" borderId="1" xfId="0" applyFont="true" applyBorder="true" applyAlignment="true" applyProtection="false">
      <alignment horizontal="general" vertical="top" textRotation="0" wrapText="true" indent="0" shrinkToFit="false"/>
      <protection locked="true" hidden="false"/>
    </xf>
    <xf numFmtId="164" fontId="9" fillId="4" borderId="1" xfId="0" applyFont="true" applyBorder="true" applyAlignment="true" applyProtection="false">
      <alignment horizontal="general" vertical="top" textRotation="0" wrapText="true" indent="0" shrinkToFit="false"/>
      <protection locked="true" hidden="false"/>
    </xf>
    <xf numFmtId="164" fontId="10" fillId="4" borderId="1" xfId="0" applyFont="true" applyBorder="true" applyAlignment="true" applyProtection="false">
      <alignment horizontal="general" vertical="top" textRotation="0" wrapText="true" indent="0" shrinkToFit="false"/>
      <protection locked="true" hidden="false"/>
    </xf>
    <xf numFmtId="164" fontId="9" fillId="5" borderId="1" xfId="0" applyFont="true" applyBorder="true" applyAlignment="true" applyProtection="false">
      <alignment horizontal="general" vertical="top" textRotation="0" wrapText="true" indent="0" shrinkToFit="false"/>
      <protection locked="true" hidden="false"/>
    </xf>
    <xf numFmtId="164" fontId="10" fillId="5" borderId="1" xfId="0" applyFont="true" applyBorder="true" applyAlignment="true" applyProtection="false">
      <alignment horizontal="general" vertical="top" textRotation="0" wrapText="true" indent="0" shrinkToFit="false"/>
      <protection locked="true" hidden="false"/>
    </xf>
    <xf numFmtId="164" fontId="9" fillId="6" borderId="1" xfId="0" applyFont="true" applyBorder="true" applyAlignment="true" applyProtection="false">
      <alignment horizontal="general" vertical="top" textRotation="0" wrapText="true" indent="0" shrinkToFit="false"/>
      <protection locked="true" hidden="false"/>
    </xf>
    <xf numFmtId="164" fontId="10" fillId="6" borderId="1" xfId="0" applyFont="true" applyBorder="true" applyAlignment="true" applyProtection="false">
      <alignment horizontal="general" vertical="top" textRotation="0" wrapText="true" indent="0" shrinkToFit="false"/>
      <protection locked="true" hidden="false"/>
    </xf>
    <xf numFmtId="164" fontId="9" fillId="7" borderId="1" xfId="0" applyFont="true" applyBorder="true" applyAlignment="true" applyProtection="false">
      <alignment horizontal="general" vertical="top" textRotation="0" wrapText="true" indent="0" shrinkToFit="false"/>
      <protection locked="true" hidden="false"/>
    </xf>
    <xf numFmtId="164" fontId="10" fillId="7" borderId="1" xfId="0" applyFont="true" applyBorder="true" applyAlignment="true" applyProtection="false">
      <alignment horizontal="general" vertical="top" textRotation="0" wrapText="true" indent="0" shrinkToFit="false"/>
      <protection locked="true" hidden="false"/>
    </xf>
    <xf numFmtId="164" fontId="9" fillId="8" borderId="1" xfId="0" applyFont="true" applyBorder="true" applyAlignment="true" applyProtection="false">
      <alignment horizontal="general" vertical="top" textRotation="0" wrapText="true" indent="0" shrinkToFit="false"/>
      <protection locked="true" hidden="false"/>
    </xf>
    <xf numFmtId="164" fontId="10" fillId="8"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10" fillId="9" borderId="1" xfId="0" applyFont="true" applyBorder="true" applyAlignment="true" applyProtection="false">
      <alignment horizontal="general" vertical="top" textRotation="0" wrapText="true" indent="0" shrinkToFit="false"/>
      <protection locked="true" hidden="false"/>
    </xf>
    <xf numFmtId="164" fontId="10" fillId="10" borderId="1" xfId="0" applyFont="true" applyBorder="true" applyAlignment="true" applyProtection="false">
      <alignment horizontal="general" vertical="top" textRotation="0" wrapText="true" indent="0" shrinkToFit="false"/>
      <protection locked="true" hidden="false"/>
    </xf>
    <xf numFmtId="164" fontId="10" fillId="11"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2">
    <dxf>
      <fill>
        <patternFill patternType="solid">
          <fgColor rgb="FF1F3864"/>
          <bgColor rgb="FF000000"/>
        </patternFill>
      </fill>
    </dxf>
    <dxf>
      <fill>
        <patternFill patternType="solid">
          <fgColor rgb="FFDDEBF7"/>
          <bgColor rgb="FF000000"/>
        </patternFill>
      </fill>
    </dxf>
    <dxf>
      <fill>
        <patternFill patternType="solid">
          <fgColor rgb="FFE2EFDA"/>
          <bgColor rgb="FF000000"/>
        </patternFill>
      </fill>
    </dxf>
    <dxf>
      <fill>
        <patternFill patternType="solid">
          <fgColor rgb="FFEDE7F6"/>
          <bgColor rgb="FF000000"/>
        </patternFill>
      </fill>
    </dxf>
    <dxf>
      <fill>
        <patternFill patternType="solid">
          <fgColor rgb="FFF4B084"/>
          <bgColor rgb="FF000000"/>
        </patternFill>
      </fill>
    </dxf>
    <dxf>
      <fill>
        <patternFill patternType="solid">
          <fgColor rgb="FFFCE4D6"/>
          <bgColor rgb="FF000000"/>
        </patternFill>
      </fill>
    </dxf>
    <dxf>
      <fill>
        <patternFill patternType="solid">
          <fgColor rgb="FFFFF2CC"/>
          <bgColor rgb="FF000000"/>
        </patternFill>
      </fill>
    </dxf>
    <dxf>
      <fill>
        <patternFill patternType="solid">
          <fgColor rgb="FFFFFFFF"/>
          <bgColor rgb="FF000000"/>
        </patternFill>
      </fill>
    </dxf>
    <dxf>
      <fill>
        <patternFill patternType="solid">
          <bgColor rgb="FF000000"/>
        </patternFill>
      </fill>
    </dxf>
    <dxf>
      <fill>
        <patternFill patternType="solid">
          <fgColor rgb="FFC6EFCE"/>
          <bgColor rgb="FF000000"/>
        </patternFill>
      </fill>
    </dxf>
    <dxf>
      <fill>
        <patternFill patternType="solid">
          <fgColor rgb="FFFFC7CE"/>
          <bgColor rgb="FF000000"/>
        </patternFill>
      </fill>
    </dxf>
    <dxf>
      <fill>
        <patternFill patternType="solid">
          <fgColor rgb="FFFFEB9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EDE7F6"/>
      <rgbColor rgb="FF000080"/>
      <rgbColor rgb="FFFF00FF"/>
      <rgbColor rgb="FFFFFF00"/>
      <rgbColor rgb="FF00FFFF"/>
      <rgbColor rgb="FF800080"/>
      <rgbColor rgb="FF800000"/>
      <rgbColor rgb="FF008080"/>
      <rgbColor rgb="FF0000FF"/>
      <rgbColor rgb="FF00CCFF"/>
      <rgbColor rgb="FFE2EFDA"/>
      <rgbColor rgb="FFC6EFCE"/>
      <rgbColor rgb="FFFFEB9C"/>
      <rgbColor rgb="FFFCE4D6"/>
      <rgbColor rgb="FFF4B084"/>
      <rgbColor rgb="FFCC99FF"/>
      <rgbColor rgb="FFFFC7CE"/>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2.xml"/><Relationship Id="rId3"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drawing" Target="../drawings/drawing6.xml"/>
</Relationships>
</file>

<file path=xl/worksheets/_rels/sheet8.xml.rels><?xml version="1.0" encoding="UTF-8"?>
<Relationships xmlns="http://schemas.openxmlformats.org/package/2006/relationships"><Relationship Id="rId1" Type="http://schemas.openxmlformats.org/officeDocument/2006/relationships/drawing" Target="../drawings/drawing7.xml"/>
</Relationships>
</file>

<file path=xl/worksheets/_rels/sheet9.xml.rels><?xml version="1.0" encoding="UTF-8"?>
<Relationships xmlns="http://schemas.openxmlformats.org/package/2006/relationships"><Relationship Id="rId1" Type="http://schemas.openxmlformats.org/officeDocument/2006/relationships/drawing" Target="../drawings/drawing8.xml"/>
</Relationships>
</file>

<file path=xl/worksheets/_rels/sheet10.xml.rels><?xml version="1.0" encoding="UTF-8"?>
<Relationships xmlns="http://schemas.openxmlformats.org/package/2006/relationships"><Relationship Id="rId1" Type="http://schemas.openxmlformats.org/officeDocument/2006/relationships/drawing" Target="../drawings/drawing9.xml"/>
</Relationships>
</file>

<file path=xl/worksheets/_rels/sheet12.xml.rels><?xml version="1.0" encoding="UTF-8"?>
<Relationships xmlns="http://schemas.openxmlformats.org/package/2006/relationships"><Relationship Id="rId1" Type="http://schemas.openxmlformats.org/officeDocument/2006/relationships/drawing" Target="../drawings/drawing10.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2"/>
  <sheetViews>
    <sheetView showFormulas="false" showGridLines="true" showRowColHeaders="true" showZeros="true" rightToLeft="false" tabSelected="tru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30"/>
  </cols>
  <sheetData>
    <row r="1" customFormat="false" ht="17.35" hidden="false" customHeight="false" outlineLevel="0" collapsed="false">
      <c r="A1" s="1" t="s">
        <v>0</v>
      </c>
    </row>
    <row r="2" customFormat="false" ht="15" hidden="false" customHeight="false" outlineLevel="0" collapsed="false">
      <c r="A2" s="2" t="s">
        <v>1</v>
      </c>
    </row>
    <row r="4" customFormat="false" ht="35.05" hidden="false" customHeight="false" outlineLevel="0" collapsed="false">
      <c r="A4" s="3" t="s">
        <v>2</v>
      </c>
      <c r="B4" s="4" t="s">
        <v>3</v>
      </c>
    </row>
    <row r="5" customFormat="false" ht="57.45" hidden="false" customHeight="false" outlineLevel="0" collapsed="false">
      <c r="A5" s="3" t="s">
        <v>4</v>
      </c>
      <c r="B5" s="4" t="s">
        <v>5</v>
      </c>
    </row>
    <row r="6" customFormat="false" ht="35.05" hidden="false" customHeight="false" outlineLevel="0" collapsed="false">
      <c r="A6" s="3" t="s">
        <v>6</v>
      </c>
      <c r="B6" s="4" t="s">
        <v>7</v>
      </c>
    </row>
    <row r="7" customFormat="false" ht="23.85" hidden="false" customHeight="false" outlineLevel="0" collapsed="false">
      <c r="A7" s="3" t="s">
        <v>8</v>
      </c>
      <c r="B7" s="4" t="s">
        <v>9</v>
      </c>
    </row>
    <row r="8" customFormat="false" ht="68.65" hidden="false" customHeight="false" outlineLevel="0" collapsed="false">
      <c r="A8" s="3" t="s">
        <v>10</v>
      </c>
      <c r="B8" s="4" t="s">
        <v>11</v>
      </c>
    </row>
    <row r="9" customFormat="false" ht="79.85" hidden="false" customHeight="false" outlineLevel="0" collapsed="false">
      <c r="A9" s="3" t="s">
        <v>12</v>
      </c>
      <c r="B9" s="4" t="s">
        <v>13</v>
      </c>
    </row>
    <row r="10" customFormat="false" ht="23.85" hidden="false" customHeight="false" outlineLevel="0" collapsed="false">
      <c r="A10" s="3" t="s">
        <v>14</v>
      </c>
      <c r="B10" s="4" t="s">
        <v>15</v>
      </c>
    </row>
    <row r="11" customFormat="false" ht="35.05" hidden="false" customHeight="false" outlineLevel="0" collapsed="false">
      <c r="A11" s="3" t="s">
        <v>16</v>
      </c>
      <c r="B11" s="4" t="s">
        <v>17</v>
      </c>
    </row>
    <row r="12" customFormat="false" ht="23.85" hidden="false" customHeight="false" outlineLevel="0" collapsed="false">
      <c r="A12" s="3" t="s">
        <v>18</v>
      </c>
      <c r="B12" s="4" t="s">
        <v>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8"/>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0"/>
    <col collapsed="false" customWidth="true" hidden="false" outlineLevel="0" max="3" min="3" style="0" width="12"/>
    <col collapsed="false" customWidth="true" hidden="false" outlineLevel="0" max="4" min="4" style="0" width="52"/>
    <col collapsed="false" customWidth="true" hidden="false" outlineLevel="0" max="5" min="5" style="0" width="26"/>
    <col collapsed="false" customWidth="true" hidden="false" outlineLevel="0" max="6" min="6" style="0" width="80"/>
    <col collapsed="false" customWidth="true" hidden="false" outlineLevel="0" max="7" min="7" style="0" width="26"/>
  </cols>
  <sheetData>
    <row r="1" customFormat="false" ht="17.35" hidden="false" customHeight="false" outlineLevel="0" collapsed="false">
      <c r="A1" s="1" t="s">
        <v>20</v>
      </c>
    </row>
    <row r="2" customFormat="false" ht="15" hidden="false" customHeight="false" outlineLevel="0" collapsed="false">
      <c r="A2" s="2" t="s">
        <v>21</v>
      </c>
    </row>
    <row r="4" customFormat="false" ht="15" hidden="false" customHeight="false" outlineLevel="0" collapsed="false">
      <c r="A4" s="5" t="s">
        <v>22</v>
      </c>
      <c r="B4" s="5" t="s">
        <v>23</v>
      </c>
      <c r="C4" s="5" t="s">
        <v>24</v>
      </c>
      <c r="D4" s="5" t="s">
        <v>25</v>
      </c>
      <c r="E4" s="5" t="s">
        <v>26</v>
      </c>
      <c r="F4" s="5" t="s">
        <v>27</v>
      </c>
      <c r="G4" s="5" t="s">
        <v>28</v>
      </c>
    </row>
    <row r="5" customFormat="false" ht="23.85" hidden="false" customHeight="false" outlineLevel="0" collapsed="false">
      <c r="A5" s="6" t="s">
        <v>23</v>
      </c>
      <c r="B5" s="6" t="s">
        <v>29</v>
      </c>
      <c r="C5" s="6" t="s">
        <v>29</v>
      </c>
      <c r="D5" s="6" t="s">
        <v>30</v>
      </c>
      <c r="E5" s="6"/>
      <c r="F5" s="6" t="s">
        <v>31</v>
      </c>
      <c r="G5" s="6"/>
    </row>
    <row r="6" customFormat="false" ht="15" hidden="false" customHeight="false" outlineLevel="0" collapsed="false">
      <c r="A6" s="7" t="s">
        <v>32</v>
      </c>
      <c r="B6" s="7" t="s">
        <v>29</v>
      </c>
      <c r="C6" s="7" t="s">
        <v>33</v>
      </c>
      <c r="D6" s="7" t="s">
        <v>34</v>
      </c>
      <c r="E6" s="7" t="s">
        <v>35</v>
      </c>
      <c r="F6" s="7" t="s">
        <v>36</v>
      </c>
      <c r="G6" s="7" t="s">
        <v>37</v>
      </c>
    </row>
    <row r="7" customFormat="false" ht="22.35" hidden="false" customHeight="false" outlineLevel="0" collapsed="false">
      <c r="A7" s="7" t="s">
        <v>32</v>
      </c>
      <c r="B7" s="7" t="s">
        <v>29</v>
      </c>
      <c r="C7" s="7" t="s">
        <v>38</v>
      </c>
      <c r="D7" s="7" t="s">
        <v>39</v>
      </c>
      <c r="E7" s="7" t="s">
        <v>40</v>
      </c>
      <c r="F7" s="7" t="s">
        <v>41</v>
      </c>
      <c r="G7" s="7" t="s">
        <v>37</v>
      </c>
    </row>
    <row r="8" customFormat="false" ht="22.35" hidden="false" customHeight="false" outlineLevel="0" collapsed="false">
      <c r="A8" s="7" t="s">
        <v>32</v>
      </c>
      <c r="B8" s="7" t="s">
        <v>29</v>
      </c>
      <c r="C8" s="7" t="s">
        <v>42</v>
      </c>
      <c r="D8" s="7" t="s">
        <v>43</v>
      </c>
      <c r="E8" s="7"/>
      <c r="F8" s="7" t="s">
        <v>44</v>
      </c>
      <c r="G8" s="7" t="s">
        <v>37</v>
      </c>
    </row>
    <row r="9" customFormat="false" ht="22.35" hidden="false" customHeight="false" outlineLevel="0" collapsed="false">
      <c r="A9" s="7" t="s">
        <v>32</v>
      </c>
      <c r="B9" s="7" t="s">
        <v>29</v>
      </c>
      <c r="C9" s="7" t="s">
        <v>45</v>
      </c>
      <c r="D9" s="7" t="s">
        <v>46</v>
      </c>
      <c r="E9" s="7"/>
      <c r="F9" s="7" t="s">
        <v>47</v>
      </c>
      <c r="G9" s="7" t="s">
        <v>37</v>
      </c>
    </row>
    <row r="10" customFormat="false" ht="23.85" hidden="false" customHeight="false" outlineLevel="0" collapsed="false">
      <c r="A10" s="8" t="s">
        <v>23</v>
      </c>
      <c r="B10" s="8" t="s">
        <v>48</v>
      </c>
      <c r="C10" s="8" t="s">
        <v>48</v>
      </c>
      <c r="D10" s="8" t="s">
        <v>49</v>
      </c>
      <c r="E10" s="8"/>
      <c r="F10" s="8" t="s">
        <v>50</v>
      </c>
      <c r="G10" s="8"/>
    </row>
    <row r="11" customFormat="false" ht="15" hidden="false" customHeight="false" outlineLevel="0" collapsed="false">
      <c r="A11" s="9" t="s">
        <v>32</v>
      </c>
      <c r="B11" s="9" t="s">
        <v>48</v>
      </c>
      <c r="C11" s="9" t="s">
        <v>51</v>
      </c>
      <c r="D11" s="9" t="s">
        <v>52</v>
      </c>
      <c r="E11" s="9"/>
      <c r="F11" s="9" t="s">
        <v>53</v>
      </c>
      <c r="G11" s="9" t="s">
        <v>37</v>
      </c>
    </row>
    <row r="12" customFormat="false" ht="22.35" hidden="false" customHeight="false" outlineLevel="0" collapsed="false">
      <c r="A12" s="9" t="s">
        <v>32</v>
      </c>
      <c r="B12" s="9" t="s">
        <v>48</v>
      </c>
      <c r="C12" s="9" t="s">
        <v>54</v>
      </c>
      <c r="D12" s="9" t="s">
        <v>55</v>
      </c>
      <c r="E12" s="9" t="s">
        <v>56</v>
      </c>
      <c r="F12" s="9" t="s">
        <v>57</v>
      </c>
      <c r="G12" s="9" t="s">
        <v>37</v>
      </c>
    </row>
    <row r="13" customFormat="false" ht="15" hidden="false" customHeight="false" outlineLevel="0" collapsed="false">
      <c r="A13" s="9" t="s">
        <v>32</v>
      </c>
      <c r="B13" s="9" t="s">
        <v>48</v>
      </c>
      <c r="C13" s="9" t="s">
        <v>58</v>
      </c>
      <c r="D13" s="9" t="s">
        <v>59</v>
      </c>
      <c r="E13" s="9"/>
      <c r="F13" s="9" t="s">
        <v>60</v>
      </c>
      <c r="G13" s="9" t="s">
        <v>37</v>
      </c>
    </row>
    <row r="14" customFormat="false" ht="15" hidden="false" customHeight="false" outlineLevel="0" collapsed="false">
      <c r="A14" s="9" t="s">
        <v>32</v>
      </c>
      <c r="B14" s="9" t="s">
        <v>48</v>
      </c>
      <c r="C14" s="9" t="s">
        <v>61</v>
      </c>
      <c r="D14" s="9" t="s">
        <v>62</v>
      </c>
      <c r="E14" s="9"/>
      <c r="F14" s="9" t="s">
        <v>63</v>
      </c>
      <c r="G14" s="9" t="s">
        <v>37</v>
      </c>
    </row>
    <row r="15" customFormat="false" ht="22.35" hidden="false" customHeight="false" outlineLevel="0" collapsed="false">
      <c r="A15" s="9" t="s">
        <v>32</v>
      </c>
      <c r="B15" s="9" t="s">
        <v>48</v>
      </c>
      <c r="C15" s="9" t="s">
        <v>64</v>
      </c>
      <c r="D15" s="9" t="s">
        <v>65</v>
      </c>
      <c r="E15" s="9"/>
      <c r="F15" s="9" t="s">
        <v>66</v>
      </c>
      <c r="G15" s="9" t="s">
        <v>37</v>
      </c>
    </row>
    <row r="16" customFormat="false" ht="15" hidden="false" customHeight="false" outlineLevel="0" collapsed="false">
      <c r="A16" s="9" t="s">
        <v>32</v>
      </c>
      <c r="B16" s="9" t="s">
        <v>48</v>
      </c>
      <c r="C16" s="9" t="s">
        <v>67</v>
      </c>
      <c r="D16" s="9" t="s">
        <v>68</v>
      </c>
      <c r="E16" s="9"/>
      <c r="F16" s="9" t="s">
        <v>69</v>
      </c>
      <c r="G16" s="9" t="s">
        <v>37</v>
      </c>
    </row>
    <row r="17" customFormat="false" ht="15" hidden="false" customHeight="false" outlineLevel="0" collapsed="false">
      <c r="A17" s="9" t="s">
        <v>32</v>
      </c>
      <c r="B17" s="9" t="s">
        <v>48</v>
      </c>
      <c r="C17" s="9" t="s">
        <v>70</v>
      </c>
      <c r="D17" s="9" t="s">
        <v>71</v>
      </c>
      <c r="E17" s="9"/>
      <c r="F17" s="9" t="s">
        <v>72</v>
      </c>
      <c r="G17" s="9" t="s">
        <v>37</v>
      </c>
    </row>
    <row r="18" customFormat="false" ht="15" hidden="false" customHeight="false" outlineLevel="0" collapsed="false">
      <c r="A18" s="10" t="s">
        <v>23</v>
      </c>
      <c r="B18" s="10" t="s">
        <v>73</v>
      </c>
      <c r="C18" s="10" t="s">
        <v>73</v>
      </c>
      <c r="D18" s="10" t="s">
        <v>74</v>
      </c>
      <c r="E18" s="10"/>
      <c r="F18" s="10" t="s">
        <v>75</v>
      </c>
      <c r="G18" s="10"/>
    </row>
    <row r="19" customFormat="false" ht="15" hidden="false" customHeight="false" outlineLevel="0" collapsed="false">
      <c r="A19" s="11" t="s">
        <v>32</v>
      </c>
      <c r="B19" s="11" t="s">
        <v>73</v>
      </c>
      <c r="C19" s="11" t="s">
        <v>76</v>
      </c>
      <c r="D19" s="11" t="s">
        <v>77</v>
      </c>
      <c r="E19" s="11"/>
      <c r="F19" s="11" t="s">
        <v>78</v>
      </c>
      <c r="G19" s="11" t="s">
        <v>37</v>
      </c>
    </row>
    <row r="20" customFormat="false" ht="32.8" hidden="false" customHeight="false" outlineLevel="0" collapsed="false">
      <c r="A20" s="11" t="s">
        <v>32</v>
      </c>
      <c r="B20" s="11" t="s">
        <v>73</v>
      </c>
      <c r="C20" s="11" t="s">
        <v>79</v>
      </c>
      <c r="D20" s="11" t="s">
        <v>80</v>
      </c>
      <c r="E20" s="11"/>
      <c r="F20" s="11" t="s">
        <v>81</v>
      </c>
      <c r="G20" s="11" t="s">
        <v>82</v>
      </c>
    </row>
    <row r="21" customFormat="false" ht="22.35" hidden="false" customHeight="false" outlineLevel="0" collapsed="false">
      <c r="A21" s="11" t="s">
        <v>32</v>
      </c>
      <c r="B21" s="11" t="s">
        <v>73</v>
      </c>
      <c r="C21" s="11" t="s">
        <v>83</v>
      </c>
      <c r="D21" s="11" t="s">
        <v>84</v>
      </c>
      <c r="E21" s="11"/>
      <c r="F21" s="11" t="s">
        <v>85</v>
      </c>
      <c r="G21" s="11" t="s">
        <v>37</v>
      </c>
    </row>
    <row r="22" customFormat="false" ht="23.85" hidden="false" customHeight="false" outlineLevel="0" collapsed="false">
      <c r="A22" s="12" t="s">
        <v>23</v>
      </c>
      <c r="B22" s="12" t="s">
        <v>86</v>
      </c>
      <c r="C22" s="12" t="s">
        <v>86</v>
      </c>
      <c r="D22" s="12" t="s">
        <v>87</v>
      </c>
      <c r="E22" s="12"/>
      <c r="F22" s="12" t="s">
        <v>88</v>
      </c>
      <c r="G22" s="12"/>
    </row>
    <row r="23" customFormat="false" ht="15" hidden="false" customHeight="false" outlineLevel="0" collapsed="false">
      <c r="A23" s="13" t="s">
        <v>32</v>
      </c>
      <c r="B23" s="13" t="s">
        <v>86</v>
      </c>
      <c r="C23" s="13" t="s">
        <v>89</v>
      </c>
      <c r="D23" s="13" t="s">
        <v>90</v>
      </c>
      <c r="E23" s="13"/>
      <c r="F23" s="13" t="s">
        <v>91</v>
      </c>
      <c r="G23" s="13" t="s">
        <v>37</v>
      </c>
    </row>
    <row r="24" customFormat="false" ht="22.35" hidden="false" customHeight="false" outlineLevel="0" collapsed="false">
      <c r="A24" s="13" t="s">
        <v>32</v>
      </c>
      <c r="B24" s="13" t="s">
        <v>86</v>
      </c>
      <c r="C24" s="13" t="s">
        <v>92</v>
      </c>
      <c r="D24" s="13" t="s">
        <v>93</v>
      </c>
      <c r="E24" s="13"/>
      <c r="F24" s="13" t="s">
        <v>94</v>
      </c>
      <c r="G24" s="13" t="s">
        <v>95</v>
      </c>
    </row>
    <row r="25" customFormat="false" ht="22.35" hidden="false" customHeight="false" outlineLevel="0" collapsed="false">
      <c r="A25" s="13" t="s">
        <v>32</v>
      </c>
      <c r="B25" s="13" t="s">
        <v>86</v>
      </c>
      <c r="C25" s="13" t="s">
        <v>96</v>
      </c>
      <c r="D25" s="13" t="s">
        <v>97</v>
      </c>
      <c r="E25" s="13"/>
      <c r="F25" s="13" t="s">
        <v>98</v>
      </c>
      <c r="G25" s="13" t="s">
        <v>37</v>
      </c>
    </row>
    <row r="26" customFormat="false" ht="15" hidden="false" customHeight="false" outlineLevel="0" collapsed="false">
      <c r="A26" s="13" t="s">
        <v>32</v>
      </c>
      <c r="B26" s="13" t="s">
        <v>86</v>
      </c>
      <c r="C26" s="13" t="s">
        <v>99</v>
      </c>
      <c r="D26" s="13" t="s">
        <v>100</v>
      </c>
      <c r="E26" s="13"/>
      <c r="F26" s="13" t="s">
        <v>101</v>
      </c>
      <c r="G26" s="13" t="s">
        <v>37</v>
      </c>
    </row>
    <row r="27" customFormat="false" ht="15" hidden="false" customHeight="false" outlineLevel="0" collapsed="false">
      <c r="A27" s="13" t="s">
        <v>32</v>
      </c>
      <c r="B27" s="13" t="s">
        <v>86</v>
      </c>
      <c r="C27" s="13" t="s">
        <v>102</v>
      </c>
      <c r="D27" s="13" t="s">
        <v>103</v>
      </c>
      <c r="E27" s="13"/>
      <c r="F27" s="13" t="s">
        <v>104</v>
      </c>
      <c r="G27" s="13" t="s">
        <v>37</v>
      </c>
    </row>
    <row r="28" customFormat="false" ht="15" hidden="false" customHeight="false" outlineLevel="0" collapsed="false">
      <c r="A28" s="13" t="s">
        <v>32</v>
      </c>
      <c r="B28" s="13" t="s">
        <v>86</v>
      </c>
      <c r="C28" s="13" t="s">
        <v>105</v>
      </c>
      <c r="D28" s="13" t="s">
        <v>106</v>
      </c>
      <c r="E28" s="13"/>
      <c r="F28" s="13" t="s">
        <v>107</v>
      </c>
      <c r="G28" s="13" t="s">
        <v>37</v>
      </c>
    </row>
    <row r="29" customFormat="false" ht="15" hidden="false" customHeight="false" outlineLevel="0" collapsed="false">
      <c r="A29" s="13" t="s">
        <v>32</v>
      </c>
      <c r="B29" s="13" t="s">
        <v>86</v>
      </c>
      <c r="C29" s="13" t="s">
        <v>108</v>
      </c>
      <c r="D29" s="13" t="s">
        <v>109</v>
      </c>
      <c r="E29" s="13"/>
      <c r="F29" s="13" t="s">
        <v>110</v>
      </c>
      <c r="G29" s="13" t="s">
        <v>37</v>
      </c>
    </row>
    <row r="30" customFormat="false" ht="15" hidden="false" customHeight="false" outlineLevel="0" collapsed="false">
      <c r="A30" s="13" t="s">
        <v>32</v>
      </c>
      <c r="B30" s="13" t="s">
        <v>86</v>
      </c>
      <c r="C30" s="13" t="s">
        <v>111</v>
      </c>
      <c r="D30" s="13" t="s">
        <v>112</v>
      </c>
      <c r="E30" s="13"/>
      <c r="F30" s="13" t="s">
        <v>113</v>
      </c>
      <c r="G30" s="13" t="s">
        <v>37</v>
      </c>
    </row>
    <row r="31" customFormat="false" ht="23.85" hidden="false" customHeight="false" outlineLevel="0" collapsed="false">
      <c r="A31" s="14" t="s">
        <v>23</v>
      </c>
      <c r="B31" s="14" t="s">
        <v>114</v>
      </c>
      <c r="C31" s="14" t="s">
        <v>114</v>
      </c>
      <c r="D31" s="14" t="s">
        <v>115</v>
      </c>
      <c r="E31" s="14"/>
      <c r="F31" s="14" t="s">
        <v>116</v>
      </c>
      <c r="G31" s="14"/>
    </row>
    <row r="32" customFormat="false" ht="22.35" hidden="false" customHeight="false" outlineLevel="0" collapsed="false">
      <c r="A32" s="15" t="s">
        <v>32</v>
      </c>
      <c r="B32" s="15" t="s">
        <v>114</v>
      </c>
      <c r="C32" s="15" t="s">
        <v>117</v>
      </c>
      <c r="D32" s="15" t="s">
        <v>118</v>
      </c>
      <c r="E32" s="15"/>
      <c r="F32" s="15" t="s">
        <v>119</v>
      </c>
      <c r="G32" s="15" t="s">
        <v>37</v>
      </c>
    </row>
    <row r="33" customFormat="false" ht="15" hidden="false" customHeight="false" outlineLevel="0" collapsed="false">
      <c r="A33" s="15" t="s">
        <v>32</v>
      </c>
      <c r="B33" s="15" t="s">
        <v>114</v>
      </c>
      <c r="C33" s="15" t="s">
        <v>120</v>
      </c>
      <c r="D33" s="15" t="s">
        <v>121</v>
      </c>
      <c r="E33" s="15"/>
      <c r="F33" s="15" t="s">
        <v>122</v>
      </c>
      <c r="G33" s="15" t="s">
        <v>37</v>
      </c>
    </row>
    <row r="34" customFormat="false" ht="23.85" hidden="false" customHeight="false" outlineLevel="0" collapsed="false">
      <c r="A34" s="16" t="s">
        <v>23</v>
      </c>
      <c r="B34" s="16" t="s">
        <v>123</v>
      </c>
      <c r="C34" s="16" t="s">
        <v>123</v>
      </c>
      <c r="D34" s="16" t="s">
        <v>124</v>
      </c>
      <c r="E34" s="16"/>
      <c r="F34" s="16" t="s">
        <v>125</v>
      </c>
      <c r="G34" s="16"/>
    </row>
    <row r="35" customFormat="false" ht="22.35" hidden="false" customHeight="false" outlineLevel="0" collapsed="false">
      <c r="A35" s="17" t="s">
        <v>32</v>
      </c>
      <c r="B35" s="17" t="s">
        <v>123</v>
      </c>
      <c r="C35" s="17" t="s">
        <v>126</v>
      </c>
      <c r="D35" s="17" t="s">
        <v>127</v>
      </c>
      <c r="E35" s="17"/>
      <c r="F35" s="17" t="s">
        <v>128</v>
      </c>
      <c r="G35" s="17" t="s">
        <v>129</v>
      </c>
    </row>
    <row r="36" customFormat="false" ht="15" hidden="false" customHeight="false" outlineLevel="0" collapsed="false">
      <c r="A36" s="17" t="s">
        <v>32</v>
      </c>
      <c r="B36" s="17" t="s">
        <v>123</v>
      </c>
      <c r="C36" s="17" t="s">
        <v>130</v>
      </c>
      <c r="D36" s="17" t="s">
        <v>131</v>
      </c>
      <c r="E36" s="17"/>
      <c r="F36" s="17" t="s">
        <v>132</v>
      </c>
      <c r="G36" s="17" t="s">
        <v>133</v>
      </c>
    </row>
    <row r="37" customFormat="false" ht="22.35" hidden="false" customHeight="false" outlineLevel="0" collapsed="false">
      <c r="A37" s="17" t="s">
        <v>32</v>
      </c>
      <c r="B37" s="17" t="s">
        <v>123</v>
      </c>
      <c r="C37" s="17" t="s">
        <v>134</v>
      </c>
      <c r="D37" s="17" t="s">
        <v>135</v>
      </c>
      <c r="E37" s="17"/>
      <c r="F37" s="17" t="s">
        <v>136</v>
      </c>
      <c r="G37" s="17" t="s">
        <v>137</v>
      </c>
    </row>
    <row r="38" customFormat="false" ht="15" hidden="false" customHeight="false" outlineLevel="0" collapsed="false">
      <c r="A38" s="17" t="s">
        <v>32</v>
      </c>
      <c r="B38" s="17" t="s">
        <v>123</v>
      </c>
      <c r="C38" s="17" t="s">
        <v>138</v>
      </c>
      <c r="D38" s="17" t="s">
        <v>139</v>
      </c>
      <c r="E38" s="17"/>
      <c r="F38" s="17" t="s">
        <v>140</v>
      </c>
      <c r="G38" s="17" t="s">
        <v>133</v>
      </c>
    </row>
  </sheetData>
  <autoFilter ref="A4:G3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32"/>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9"/>
    <col collapsed="false" customWidth="true" hidden="false" outlineLevel="0" max="3" min="3" style="0" width="34"/>
    <col collapsed="false" customWidth="true" hidden="false" outlineLevel="0" max="4" min="4" style="0" width="18"/>
    <col collapsed="false" customWidth="true" hidden="false" outlineLevel="0" max="5" min="5" style="0" width="40"/>
    <col collapsed="false" customWidth="true" hidden="false" outlineLevel="0" max="6" min="6" style="0" width="14"/>
    <col collapsed="false" customWidth="true" hidden="false" outlineLevel="0" max="7" min="7" style="0" width="12"/>
    <col collapsed="false" customWidth="true" hidden="false" outlineLevel="0" max="8" min="8" style="0" width="40"/>
    <col collapsed="false" customWidth="true" hidden="false" outlineLevel="0" max="9" min="9" style="0" width="30"/>
    <col collapsed="false" customWidth="true" hidden="false" outlineLevel="0" max="10" min="10" style="0" width="32"/>
    <col collapsed="false" customWidth="true" hidden="false" outlineLevel="0" max="11" min="11" style="0" width="34"/>
    <col collapsed="false" customWidth="true" hidden="false" outlineLevel="0" max="12" min="12" style="0" width="30"/>
    <col collapsed="false" customWidth="true" hidden="false" outlineLevel="0" max="13" min="13" style="0" width="48"/>
    <col collapsed="false" customWidth="true" hidden="false" outlineLevel="0" max="14" min="14" style="0" width="16"/>
    <col collapsed="false" customWidth="true" hidden="false" outlineLevel="0" max="15" min="15" style="0" width="42"/>
    <col collapsed="false" customWidth="true" hidden="false" outlineLevel="0" max="16" min="16" style="0" width="22"/>
    <col collapsed="false" customWidth="true" hidden="false" outlineLevel="0" max="18" min="17" style="0" width="18"/>
    <col collapsed="false" customWidth="true" hidden="false" outlineLevel="0" max="19" min="19" style="0" width="30"/>
    <col collapsed="false" customWidth="true" hidden="false" outlineLevel="0" max="20" min="20" style="0" width="9"/>
    <col collapsed="false" customWidth="true" hidden="false" outlineLevel="0" max="21" min="21" style="0" width="36"/>
    <col collapsed="false" customWidth="true" hidden="false" outlineLevel="0" max="22" min="22" style="0" width="10"/>
    <col collapsed="false" customWidth="true" hidden="false" outlineLevel="0" max="23" min="23" style="0" width="36"/>
    <col collapsed="false" customWidth="true" hidden="false" outlineLevel="0" max="24" min="24" style="0" width="48"/>
    <col collapsed="false" customWidth="true" hidden="false" outlineLevel="0" max="25" min="25" style="0" width="52"/>
    <col collapsed="false" customWidth="true" hidden="false" outlineLevel="0" max="26" min="26" style="0" width="26"/>
    <col collapsed="false" customWidth="true" hidden="false" outlineLevel="0" max="27" min="27" style="0" width="30"/>
    <col collapsed="false" customWidth="true" hidden="false" outlineLevel="0" max="28" min="28" style="0" width="11"/>
  </cols>
  <sheetData>
    <row r="1" customFormat="false" ht="17.35" hidden="false" customHeight="false" outlineLevel="0" collapsed="false">
      <c r="A1" s="1" t="s">
        <v>141</v>
      </c>
    </row>
    <row r="2" customFormat="false" ht="15" hidden="false" customHeight="false" outlineLevel="0" collapsed="false">
      <c r="A2" s="2" t="s">
        <v>142</v>
      </c>
    </row>
    <row r="4" customFormat="false" ht="46.25" hidden="false" customHeight="false" outlineLevel="0" collapsed="false">
      <c r="A4" s="5" t="s">
        <v>24</v>
      </c>
      <c r="B4" s="5" t="s">
        <v>23</v>
      </c>
      <c r="C4" s="5" t="s">
        <v>25</v>
      </c>
      <c r="D4" s="5" t="s">
        <v>26</v>
      </c>
      <c r="E4" s="5" t="s">
        <v>27</v>
      </c>
      <c r="F4" s="5" t="s">
        <v>143</v>
      </c>
      <c r="G4" s="5" t="s">
        <v>144</v>
      </c>
      <c r="H4" s="5" t="s">
        <v>145</v>
      </c>
      <c r="I4" s="5" t="s">
        <v>146</v>
      </c>
      <c r="J4" s="5" t="s">
        <v>147</v>
      </c>
      <c r="K4" s="5" t="s">
        <v>148</v>
      </c>
      <c r="L4" s="5" t="s">
        <v>149</v>
      </c>
      <c r="M4" s="5" t="s">
        <v>150</v>
      </c>
      <c r="N4" s="5" t="s">
        <v>151</v>
      </c>
      <c r="O4" s="5" t="s">
        <v>152</v>
      </c>
      <c r="P4" s="5" t="s">
        <v>153</v>
      </c>
      <c r="Q4" s="5" t="s">
        <v>154</v>
      </c>
      <c r="R4" s="5" t="s">
        <v>28</v>
      </c>
      <c r="S4" s="5" t="s">
        <v>155</v>
      </c>
      <c r="T4" s="5" t="s">
        <v>156</v>
      </c>
      <c r="U4" s="5" t="s">
        <v>157</v>
      </c>
      <c r="V4" s="5" t="s">
        <v>158</v>
      </c>
      <c r="W4" s="5" t="s">
        <v>159</v>
      </c>
      <c r="X4" s="5" t="s">
        <v>160</v>
      </c>
      <c r="Y4" s="5" t="s">
        <v>161</v>
      </c>
      <c r="Z4" s="5" t="s">
        <v>162</v>
      </c>
      <c r="AA4" s="5" t="s">
        <v>163</v>
      </c>
      <c r="AB4" s="5" t="s">
        <v>164</v>
      </c>
    </row>
    <row r="5" customFormat="false" ht="150" hidden="false" customHeight="true" outlineLevel="0" collapsed="false">
      <c r="A5" s="7" t="s">
        <v>33</v>
      </c>
      <c r="B5" s="7" t="s">
        <v>29</v>
      </c>
      <c r="C5" s="7" t="s">
        <v>34</v>
      </c>
      <c r="D5" s="7" t="s">
        <v>35</v>
      </c>
      <c r="E5" s="7" t="s">
        <v>36</v>
      </c>
      <c r="F5" s="7" t="s">
        <v>165</v>
      </c>
      <c r="G5" s="7" t="s">
        <v>166</v>
      </c>
      <c r="H5" s="7" t="s">
        <v>167</v>
      </c>
      <c r="I5" s="7" t="s">
        <v>168</v>
      </c>
      <c r="J5" s="7" t="s">
        <v>169</v>
      </c>
      <c r="K5" s="7" t="s">
        <v>170</v>
      </c>
      <c r="L5" s="7" t="s">
        <v>171</v>
      </c>
      <c r="M5" s="7" t="s">
        <v>172</v>
      </c>
      <c r="N5" s="7" t="s">
        <v>173</v>
      </c>
      <c r="O5" s="7" t="s">
        <v>174</v>
      </c>
      <c r="P5" s="7" t="s">
        <v>175</v>
      </c>
      <c r="Q5" s="7" t="s">
        <v>176</v>
      </c>
      <c r="R5" s="7" t="s">
        <v>37</v>
      </c>
      <c r="S5" s="7" t="s">
        <v>177</v>
      </c>
      <c r="T5" s="7" t="n">
        <v>27</v>
      </c>
      <c r="U5" s="7" t="s">
        <v>178</v>
      </c>
      <c r="V5" s="7" t="s">
        <v>179</v>
      </c>
      <c r="W5" s="7" t="s">
        <v>180</v>
      </c>
      <c r="X5" s="7" t="s">
        <v>181</v>
      </c>
      <c r="Y5" s="7" t="s">
        <v>182</v>
      </c>
      <c r="Z5" s="7" t="s">
        <v>183</v>
      </c>
      <c r="AA5" s="7" t="s">
        <v>184</v>
      </c>
      <c r="AB5" s="7" t="s">
        <v>185</v>
      </c>
    </row>
    <row r="6" customFormat="false" ht="150" hidden="false" customHeight="true" outlineLevel="0" collapsed="false">
      <c r="A6" s="7" t="s">
        <v>38</v>
      </c>
      <c r="B6" s="7" t="s">
        <v>29</v>
      </c>
      <c r="C6" s="7" t="s">
        <v>39</v>
      </c>
      <c r="D6" s="7" t="s">
        <v>40</v>
      </c>
      <c r="E6" s="7" t="s">
        <v>41</v>
      </c>
      <c r="F6" s="7" t="s">
        <v>165</v>
      </c>
      <c r="G6" s="7" t="s">
        <v>166</v>
      </c>
      <c r="H6" s="7" t="s">
        <v>186</v>
      </c>
      <c r="I6" s="7" t="s">
        <v>168</v>
      </c>
      <c r="J6" s="7" t="s">
        <v>187</v>
      </c>
      <c r="K6" s="7" t="s">
        <v>188</v>
      </c>
      <c r="L6" s="7" t="s">
        <v>189</v>
      </c>
      <c r="M6" s="7" t="s">
        <v>190</v>
      </c>
      <c r="N6" s="7" t="s">
        <v>191</v>
      </c>
      <c r="O6" s="7" t="s">
        <v>192</v>
      </c>
      <c r="P6" s="7" t="s">
        <v>193</v>
      </c>
      <c r="Q6" s="7" t="s">
        <v>194</v>
      </c>
      <c r="R6" s="7" t="s">
        <v>37</v>
      </c>
      <c r="S6" s="7" t="s">
        <v>195</v>
      </c>
      <c r="T6" s="7" t="n">
        <v>32</v>
      </c>
      <c r="U6" s="7" t="s">
        <v>196</v>
      </c>
      <c r="V6" s="7" t="s">
        <v>197</v>
      </c>
      <c r="W6" s="7" t="s">
        <v>198</v>
      </c>
      <c r="X6" s="7" t="s">
        <v>199</v>
      </c>
      <c r="Y6" s="7" t="s">
        <v>200</v>
      </c>
      <c r="Z6" s="7" t="s">
        <v>201</v>
      </c>
      <c r="AA6" s="7" t="s">
        <v>202</v>
      </c>
      <c r="AB6" s="7" t="s">
        <v>185</v>
      </c>
    </row>
    <row r="7" customFormat="false" ht="150" hidden="false" customHeight="true" outlineLevel="0" collapsed="false">
      <c r="A7" s="7" t="s">
        <v>42</v>
      </c>
      <c r="B7" s="7" t="s">
        <v>29</v>
      </c>
      <c r="C7" s="7" t="s">
        <v>43</v>
      </c>
      <c r="D7" s="7"/>
      <c r="E7" s="7" t="s">
        <v>44</v>
      </c>
      <c r="F7" s="7" t="s">
        <v>203</v>
      </c>
      <c r="G7" s="7" t="s">
        <v>204</v>
      </c>
      <c r="H7" s="7" t="s">
        <v>205</v>
      </c>
      <c r="I7" s="7" t="s">
        <v>206</v>
      </c>
      <c r="J7" s="7" t="s">
        <v>207</v>
      </c>
      <c r="K7" s="7" t="s">
        <v>208</v>
      </c>
      <c r="L7" s="7" t="s">
        <v>209</v>
      </c>
      <c r="M7" s="7" t="s">
        <v>210</v>
      </c>
      <c r="N7" s="7" t="s">
        <v>211</v>
      </c>
      <c r="O7" s="7" t="s">
        <v>212</v>
      </c>
      <c r="P7" s="7" t="s">
        <v>213</v>
      </c>
      <c r="Q7" s="7" t="s">
        <v>214</v>
      </c>
      <c r="R7" s="7" t="s">
        <v>37</v>
      </c>
      <c r="S7" s="7" t="s">
        <v>215</v>
      </c>
      <c r="T7" s="7" t="n">
        <v>20</v>
      </c>
      <c r="U7" s="7" t="s">
        <v>216</v>
      </c>
      <c r="V7" s="7" t="s">
        <v>217</v>
      </c>
      <c r="W7" s="7" t="s">
        <v>218</v>
      </c>
      <c r="X7" s="7" t="s">
        <v>219</v>
      </c>
      <c r="Y7" s="7" t="s">
        <v>220</v>
      </c>
      <c r="Z7" s="7" t="s">
        <v>221</v>
      </c>
      <c r="AA7" s="7" t="s">
        <v>222</v>
      </c>
      <c r="AB7" s="7" t="s">
        <v>185</v>
      </c>
    </row>
    <row r="8" customFormat="false" ht="150" hidden="false" customHeight="true" outlineLevel="0" collapsed="false">
      <c r="A8" s="7" t="s">
        <v>45</v>
      </c>
      <c r="B8" s="7" t="s">
        <v>29</v>
      </c>
      <c r="C8" s="7" t="s">
        <v>46</v>
      </c>
      <c r="D8" s="7"/>
      <c r="E8" s="7" t="s">
        <v>47</v>
      </c>
      <c r="F8" s="7" t="s">
        <v>165</v>
      </c>
      <c r="G8" s="7" t="s">
        <v>223</v>
      </c>
      <c r="H8" s="7" t="s">
        <v>224</v>
      </c>
      <c r="I8" s="7" t="s">
        <v>225</v>
      </c>
      <c r="J8" s="7" t="s">
        <v>226</v>
      </c>
      <c r="K8" s="7" t="s">
        <v>227</v>
      </c>
      <c r="L8" s="7" t="s">
        <v>228</v>
      </c>
      <c r="M8" s="7" t="s">
        <v>229</v>
      </c>
      <c r="N8" s="7" t="s">
        <v>230</v>
      </c>
      <c r="O8" s="7" t="s">
        <v>231</v>
      </c>
      <c r="P8" s="7" t="s">
        <v>232</v>
      </c>
      <c r="Q8" s="7" t="s">
        <v>233</v>
      </c>
      <c r="R8" s="7" t="s">
        <v>37</v>
      </c>
      <c r="S8" s="7" t="s">
        <v>234</v>
      </c>
      <c r="T8" s="7" t="n">
        <v>18</v>
      </c>
      <c r="U8" s="7" t="s">
        <v>196</v>
      </c>
      <c r="V8" s="7" t="s">
        <v>235</v>
      </c>
      <c r="W8" s="7" t="s">
        <v>218</v>
      </c>
      <c r="X8" s="7" t="s">
        <v>236</v>
      </c>
      <c r="Y8" s="7" t="s">
        <v>237</v>
      </c>
      <c r="Z8" s="7" t="s">
        <v>221</v>
      </c>
      <c r="AA8" s="7" t="s">
        <v>238</v>
      </c>
      <c r="AB8" s="7" t="s">
        <v>185</v>
      </c>
    </row>
    <row r="9" customFormat="false" ht="150" hidden="false" customHeight="true" outlineLevel="0" collapsed="false">
      <c r="A9" s="9" t="s">
        <v>51</v>
      </c>
      <c r="B9" s="9" t="s">
        <v>48</v>
      </c>
      <c r="C9" s="9" t="s">
        <v>52</v>
      </c>
      <c r="D9" s="9"/>
      <c r="E9" s="9" t="s">
        <v>53</v>
      </c>
      <c r="F9" s="9" t="s">
        <v>165</v>
      </c>
      <c r="G9" s="9" t="s">
        <v>166</v>
      </c>
      <c r="H9" s="9" t="s">
        <v>239</v>
      </c>
      <c r="I9" s="9" t="s">
        <v>168</v>
      </c>
      <c r="J9" s="9" t="s">
        <v>226</v>
      </c>
      <c r="K9" s="9" t="s">
        <v>240</v>
      </c>
      <c r="L9" s="9" t="s">
        <v>241</v>
      </c>
      <c r="M9" s="9" t="s">
        <v>242</v>
      </c>
      <c r="N9" s="9" t="s">
        <v>243</v>
      </c>
      <c r="O9" s="9" t="s">
        <v>244</v>
      </c>
      <c r="P9" s="9" t="s">
        <v>245</v>
      </c>
      <c r="Q9" s="9" t="s">
        <v>246</v>
      </c>
      <c r="R9" s="9" t="s">
        <v>37</v>
      </c>
      <c r="S9" s="9" t="s">
        <v>247</v>
      </c>
      <c r="T9" s="9" t="n">
        <v>20</v>
      </c>
      <c r="U9" s="9" t="s">
        <v>216</v>
      </c>
      <c r="V9" s="9" t="s">
        <v>235</v>
      </c>
      <c r="W9" s="9" t="s">
        <v>218</v>
      </c>
      <c r="X9" s="9" t="s">
        <v>248</v>
      </c>
      <c r="Y9" s="9" t="s">
        <v>200</v>
      </c>
      <c r="Z9" s="9" t="s">
        <v>221</v>
      </c>
      <c r="AA9" s="9"/>
      <c r="AB9" s="9" t="s">
        <v>185</v>
      </c>
    </row>
    <row r="10" customFormat="false" ht="150" hidden="false" customHeight="true" outlineLevel="0" collapsed="false">
      <c r="A10" s="9" t="s">
        <v>54</v>
      </c>
      <c r="B10" s="9" t="s">
        <v>48</v>
      </c>
      <c r="C10" s="9" t="s">
        <v>55</v>
      </c>
      <c r="D10" s="9" t="s">
        <v>56</v>
      </c>
      <c r="E10" s="9" t="s">
        <v>57</v>
      </c>
      <c r="F10" s="9" t="s">
        <v>165</v>
      </c>
      <c r="G10" s="9" t="s">
        <v>249</v>
      </c>
      <c r="H10" s="9" t="s">
        <v>250</v>
      </c>
      <c r="I10" s="9" t="s">
        <v>251</v>
      </c>
      <c r="J10" s="9" t="s">
        <v>252</v>
      </c>
      <c r="K10" s="9" t="s">
        <v>253</v>
      </c>
      <c r="L10" s="9" t="s">
        <v>254</v>
      </c>
      <c r="M10" s="9" t="s">
        <v>255</v>
      </c>
      <c r="N10" s="9" t="s">
        <v>243</v>
      </c>
      <c r="O10" s="9" t="s">
        <v>256</v>
      </c>
      <c r="P10" s="9" t="s">
        <v>257</v>
      </c>
      <c r="Q10" s="9" t="s">
        <v>258</v>
      </c>
      <c r="R10" s="9" t="s">
        <v>37</v>
      </c>
      <c r="S10" s="9" t="s">
        <v>259</v>
      </c>
      <c r="T10" s="9" t="n">
        <v>16</v>
      </c>
      <c r="U10" s="9" t="s">
        <v>260</v>
      </c>
      <c r="V10" s="9" t="s">
        <v>197</v>
      </c>
      <c r="W10" s="9" t="s">
        <v>261</v>
      </c>
      <c r="X10" s="9" t="s">
        <v>262</v>
      </c>
      <c r="Y10" s="9" t="s">
        <v>200</v>
      </c>
      <c r="Z10" s="9" t="s">
        <v>263</v>
      </c>
      <c r="AA10" s="9" t="s">
        <v>264</v>
      </c>
      <c r="AB10" s="9" t="s">
        <v>185</v>
      </c>
    </row>
    <row r="11" customFormat="false" ht="150" hidden="false" customHeight="true" outlineLevel="0" collapsed="false">
      <c r="A11" s="9" t="s">
        <v>58</v>
      </c>
      <c r="B11" s="9" t="s">
        <v>48</v>
      </c>
      <c r="C11" s="9" t="s">
        <v>59</v>
      </c>
      <c r="D11" s="9"/>
      <c r="E11" s="9" t="s">
        <v>60</v>
      </c>
      <c r="F11" s="9" t="s">
        <v>165</v>
      </c>
      <c r="G11" s="9" t="s">
        <v>166</v>
      </c>
      <c r="H11" s="9" t="s">
        <v>265</v>
      </c>
      <c r="I11" s="9" t="s">
        <v>168</v>
      </c>
      <c r="J11" s="9" t="s">
        <v>226</v>
      </c>
      <c r="K11" s="9" t="s">
        <v>266</v>
      </c>
      <c r="L11" s="9" t="s">
        <v>267</v>
      </c>
      <c r="M11" s="9" t="s">
        <v>268</v>
      </c>
      <c r="N11" s="9" t="s">
        <v>269</v>
      </c>
      <c r="O11" s="9" t="s">
        <v>270</v>
      </c>
      <c r="P11" s="9" t="s">
        <v>271</v>
      </c>
      <c r="Q11" s="9" t="s">
        <v>272</v>
      </c>
      <c r="R11" s="9" t="s">
        <v>37</v>
      </c>
      <c r="S11" s="9" t="s">
        <v>273</v>
      </c>
      <c r="T11" s="9" t="n">
        <v>14</v>
      </c>
      <c r="U11" s="9" t="s">
        <v>216</v>
      </c>
      <c r="V11" s="9" t="s">
        <v>235</v>
      </c>
      <c r="W11" s="9" t="s">
        <v>218</v>
      </c>
      <c r="X11" s="9" t="s">
        <v>274</v>
      </c>
      <c r="Y11" s="9" t="s">
        <v>275</v>
      </c>
      <c r="Z11" s="9" t="s">
        <v>276</v>
      </c>
      <c r="AA11" s="9"/>
      <c r="AB11" s="9" t="s">
        <v>185</v>
      </c>
    </row>
    <row r="12" customFormat="false" ht="150" hidden="false" customHeight="true" outlineLevel="0" collapsed="false">
      <c r="A12" s="9" t="s">
        <v>61</v>
      </c>
      <c r="B12" s="9" t="s">
        <v>48</v>
      </c>
      <c r="C12" s="9" t="s">
        <v>62</v>
      </c>
      <c r="D12" s="9"/>
      <c r="E12" s="9" t="s">
        <v>63</v>
      </c>
      <c r="F12" s="9" t="s">
        <v>165</v>
      </c>
      <c r="G12" s="9" t="s">
        <v>166</v>
      </c>
      <c r="H12" s="9" t="s">
        <v>277</v>
      </c>
      <c r="I12" s="9" t="s">
        <v>278</v>
      </c>
      <c r="J12" s="9" t="s">
        <v>226</v>
      </c>
      <c r="K12" s="9" t="s">
        <v>279</v>
      </c>
      <c r="L12" s="9" t="s">
        <v>280</v>
      </c>
      <c r="M12" s="9" t="s">
        <v>281</v>
      </c>
      <c r="N12" s="9" t="s">
        <v>282</v>
      </c>
      <c r="O12" s="9" t="s">
        <v>283</v>
      </c>
      <c r="P12" s="9" t="s">
        <v>284</v>
      </c>
      <c r="Q12" s="9" t="s">
        <v>285</v>
      </c>
      <c r="R12" s="9" t="s">
        <v>37</v>
      </c>
      <c r="S12" s="9" t="s">
        <v>286</v>
      </c>
      <c r="T12" s="9" t="n">
        <v>14</v>
      </c>
      <c r="U12" s="9" t="s">
        <v>287</v>
      </c>
      <c r="V12" s="9" t="s">
        <v>288</v>
      </c>
      <c r="W12" s="9" t="s">
        <v>289</v>
      </c>
      <c r="X12" s="9" t="s">
        <v>290</v>
      </c>
      <c r="Y12" s="9" t="s">
        <v>291</v>
      </c>
      <c r="Z12" s="9" t="s">
        <v>221</v>
      </c>
      <c r="AA12" s="9" t="s">
        <v>292</v>
      </c>
      <c r="AB12" s="9" t="s">
        <v>185</v>
      </c>
    </row>
    <row r="13" customFormat="false" ht="150" hidden="false" customHeight="true" outlineLevel="0" collapsed="false">
      <c r="A13" s="9" t="s">
        <v>64</v>
      </c>
      <c r="B13" s="9" t="s">
        <v>48</v>
      </c>
      <c r="C13" s="9" t="s">
        <v>65</v>
      </c>
      <c r="D13" s="9"/>
      <c r="E13" s="9" t="s">
        <v>66</v>
      </c>
      <c r="F13" s="9" t="s">
        <v>165</v>
      </c>
      <c r="G13" s="9" t="s">
        <v>166</v>
      </c>
      <c r="H13" s="9" t="s">
        <v>293</v>
      </c>
      <c r="I13" s="9" t="s">
        <v>168</v>
      </c>
      <c r="J13" s="9" t="s">
        <v>226</v>
      </c>
      <c r="K13" s="9" t="s">
        <v>294</v>
      </c>
      <c r="L13" s="9" t="s">
        <v>295</v>
      </c>
      <c r="M13" s="9" t="s">
        <v>296</v>
      </c>
      <c r="N13" s="9" t="s">
        <v>297</v>
      </c>
      <c r="O13" s="9" t="s">
        <v>298</v>
      </c>
      <c r="P13" s="9" t="s">
        <v>299</v>
      </c>
      <c r="Q13" s="9" t="s">
        <v>300</v>
      </c>
      <c r="R13" s="9" t="s">
        <v>37</v>
      </c>
      <c r="S13" s="9" t="s">
        <v>301</v>
      </c>
      <c r="T13" s="9" t="n">
        <v>14</v>
      </c>
      <c r="U13" s="9" t="s">
        <v>216</v>
      </c>
      <c r="V13" s="9" t="s">
        <v>288</v>
      </c>
      <c r="W13" s="9" t="s">
        <v>218</v>
      </c>
      <c r="X13" s="9" t="s">
        <v>302</v>
      </c>
      <c r="Y13" s="9" t="s">
        <v>303</v>
      </c>
      <c r="Z13" s="9" t="s">
        <v>221</v>
      </c>
      <c r="AA13" s="9"/>
      <c r="AB13" s="9" t="s">
        <v>185</v>
      </c>
    </row>
    <row r="14" customFormat="false" ht="150" hidden="false" customHeight="true" outlineLevel="0" collapsed="false">
      <c r="A14" s="9" t="s">
        <v>67</v>
      </c>
      <c r="B14" s="9" t="s">
        <v>48</v>
      </c>
      <c r="C14" s="9" t="s">
        <v>68</v>
      </c>
      <c r="D14" s="9"/>
      <c r="E14" s="9" t="s">
        <v>69</v>
      </c>
      <c r="F14" s="9" t="s">
        <v>165</v>
      </c>
      <c r="G14" s="9" t="s">
        <v>166</v>
      </c>
      <c r="H14" s="9" t="s">
        <v>304</v>
      </c>
      <c r="I14" s="9" t="s">
        <v>168</v>
      </c>
      <c r="J14" s="9" t="s">
        <v>226</v>
      </c>
      <c r="K14" s="9" t="s">
        <v>305</v>
      </c>
      <c r="L14" s="9" t="s">
        <v>306</v>
      </c>
      <c r="M14" s="9" t="s">
        <v>307</v>
      </c>
      <c r="N14" s="9" t="s">
        <v>308</v>
      </c>
      <c r="O14" s="9" t="s">
        <v>309</v>
      </c>
      <c r="P14" s="9" t="s">
        <v>310</v>
      </c>
      <c r="Q14" s="9" t="s">
        <v>311</v>
      </c>
      <c r="R14" s="9" t="s">
        <v>37</v>
      </c>
      <c r="S14" s="9" t="s">
        <v>312</v>
      </c>
      <c r="T14" s="9" t="n">
        <v>6</v>
      </c>
      <c r="U14" s="9" t="s">
        <v>313</v>
      </c>
      <c r="V14" s="9" t="s">
        <v>314</v>
      </c>
      <c r="W14" s="9" t="s">
        <v>315</v>
      </c>
      <c r="X14" s="9" t="s">
        <v>316</v>
      </c>
      <c r="Y14" s="9" t="s">
        <v>317</v>
      </c>
      <c r="Z14" s="9" t="s">
        <v>318</v>
      </c>
      <c r="AA14" s="9"/>
      <c r="AB14" s="9" t="s">
        <v>185</v>
      </c>
    </row>
    <row r="15" customFormat="false" ht="150" hidden="false" customHeight="true" outlineLevel="0" collapsed="false">
      <c r="A15" s="9" t="s">
        <v>70</v>
      </c>
      <c r="B15" s="9" t="s">
        <v>48</v>
      </c>
      <c r="C15" s="9" t="s">
        <v>71</v>
      </c>
      <c r="D15" s="9"/>
      <c r="E15" s="9" t="s">
        <v>72</v>
      </c>
      <c r="F15" s="9" t="s">
        <v>165</v>
      </c>
      <c r="G15" s="9" t="s">
        <v>166</v>
      </c>
      <c r="H15" s="9" t="s">
        <v>319</v>
      </c>
      <c r="I15" s="9" t="s">
        <v>168</v>
      </c>
      <c r="J15" s="9" t="s">
        <v>320</v>
      </c>
      <c r="K15" s="9" t="s">
        <v>321</v>
      </c>
      <c r="L15" s="9" t="s">
        <v>322</v>
      </c>
      <c r="M15" s="9" t="s">
        <v>323</v>
      </c>
      <c r="N15" s="9" t="s">
        <v>324</v>
      </c>
      <c r="O15" s="9" t="s">
        <v>325</v>
      </c>
      <c r="P15" s="9" t="s">
        <v>310</v>
      </c>
      <c r="Q15" s="9" t="s">
        <v>326</v>
      </c>
      <c r="R15" s="9" t="s">
        <v>37</v>
      </c>
      <c r="S15" s="9" t="s">
        <v>312</v>
      </c>
      <c r="T15" s="9" t="n">
        <v>6</v>
      </c>
      <c r="U15" s="9" t="s">
        <v>313</v>
      </c>
      <c r="V15" s="9" t="s">
        <v>327</v>
      </c>
      <c r="W15" s="9" t="s">
        <v>315</v>
      </c>
      <c r="X15" s="9" t="s">
        <v>328</v>
      </c>
      <c r="Y15" s="9" t="s">
        <v>329</v>
      </c>
      <c r="Z15" s="9" t="s">
        <v>276</v>
      </c>
      <c r="AA15" s="9"/>
      <c r="AB15" s="9" t="s">
        <v>185</v>
      </c>
    </row>
    <row r="16" customFormat="false" ht="150" hidden="false" customHeight="true" outlineLevel="0" collapsed="false">
      <c r="A16" s="11" t="s">
        <v>76</v>
      </c>
      <c r="B16" s="11" t="s">
        <v>73</v>
      </c>
      <c r="C16" s="11" t="s">
        <v>77</v>
      </c>
      <c r="D16" s="11"/>
      <c r="E16" s="11" t="s">
        <v>78</v>
      </c>
      <c r="F16" s="11" t="s">
        <v>330</v>
      </c>
      <c r="G16" s="11" t="s">
        <v>166</v>
      </c>
      <c r="H16" s="11" t="s">
        <v>331</v>
      </c>
      <c r="I16" s="11" t="s">
        <v>332</v>
      </c>
      <c r="J16" s="11" t="s">
        <v>226</v>
      </c>
      <c r="K16" s="11" t="s">
        <v>333</v>
      </c>
      <c r="L16" s="11" t="s">
        <v>334</v>
      </c>
      <c r="M16" s="11" t="s">
        <v>335</v>
      </c>
      <c r="N16" s="11" t="s">
        <v>336</v>
      </c>
      <c r="O16" s="11" t="s">
        <v>337</v>
      </c>
      <c r="P16" s="11" t="s">
        <v>338</v>
      </c>
      <c r="Q16" s="11" t="s">
        <v>339</v>
      </c>
      <c r="R16" s="11" t="s">
        <v>37</v>
      </c>
      <c r="S16" s="11" t="s">
        <v>340</v>
      </c>
      <c r="T16" s="11" t="n">
        <v>20</v>
      </c>
      <c r="U16" s="11" t="s">
        <v>341</v>
      </c>
      <c r="V16" s="11" t="s">
        <v>342</v>
      </c>
      <c r="W16" s="11" t="s">
        <v>198</v>
      </c>
      <c r="X16" s="11" t="s">
        <v>343</v>
      </c>
      <c r="Y16" s="11" t="s">
        <v>291</v>
      </c>
      <c r="Z16" s="11" t="s">
        <v>221</v>
      </c>
      <c r="AA16" s="11" t="s">
        <v>292</v>
      </c>
      <c r="AB16" s="11" t="s">
        <v>185</v>
      </c>
    </row>
    <row r="17" customFormat="false" ht="150" hidden="false" customHeight="true" outlineLevel="0" collapsed="false">
      <c r="A17" s="11" t="s">
        <v>79</v>
      </c>
      <c r="B17" s="11" t="s">
        <v>73</v>
      </c>
      <c r="C17" s="11" t="s">
        <v>80</v>
      </c>
      <c r="D17" s="11"/>
      <c r="E17" s="11" t="s">
        <v>81</v>
      </c>
      <c r="F17" s="11" t="s">
        <v>344</v>
      </c>
      <c r="G17" s="11" t="s">
        <v>166</v>
      </c>
      <c r="H17" s="11" t="s">
        <v>345</v>
      </c>
      <c r="I17" s="11" t="s">
        <v>346</v>
      </c>
      <c r="J17" s="11" t="s">
        <v>226</v>
      </c>
      <c r="K17" s="11" t="s">
        <v>347</v>
      </c>
      <c r="L17" s="11" t="s">
        <v>348</v>
      </c>
      <c r="M17" s="11" t="s">
        <v>349</v>
      </c>
      <c r="N17" s="11" t="s">
        <v>350</v>
      </c>
      <c r="O17" s="11" t="s">
        <v>351</v>
      </c>
      <c r="P17" s="11" t="s">
        <v>352</v>
      </c>
      <c r="Q17" s="11" t="s">
        <v>353</v>
      </c>
      <c r="R17" s="11" t="s">
        <v>82</v>
      </c>
      <c r="S17" s="11" t="s">
        <v>354</v>
      </c>
      <c r="T17" s="11" t="n">
        <v>18</v>
      </c>
      <c r="U17" s="11" t="s">
        <v>355</v>
      </c>
      <c r="V17" s="11" t="s">
        <v>197</v>
      </c>
      <c r="W17" s="11" t="s">
        <v>198</v>
      </c>
      <c r="X17" s="11" t="s">
        <v>356</v>
      </c>
      <c r="Y17" s="11" t="s">
        <v>357</v>
      </c>
      <c r="Z17" s="11" t="s">
        <v>276</v>
      </c>
      <c r="AA17" s="11" t="s">
        <v>358</v>
      </c>
      <c r="AB17" s="11" t="s">
        <v>185</v>
      </c>
    </row>
    <row r="18" customFormat="false" ht="150" hidden="false" customHeight="true" outlineLevel="0" collapsed="false">
      <c r="A18" s="11" t="s">
        <v>83</v>
      </c>
      <c r="B18" s="11" t="s">
        <v>73</v>
      </c>
      <c r="C18" s="11" t="s">
        <v>84</v>
      </c>
      <c r="D18" s="11"/>
      <c r="E18" s="11" t="s">
        <v>85</v>
      </c>
      <c r="F18" s="11" t="s">
        <v>165</v>
      </c>
      <c r="G18" s="11" t="s">
        <v>166</v>
      </c>
      <c r="H18" s="11" t="s">
        <v>359</v>
      </c>
      <c r="I18" s="11" t="s">
        <v>360</v>
      </c>
      <c r="J18" s="11" t="s">
        <v>226</v>
      </c>
      <c r="K18" s="11" t="s">
        <v>361</v>
      </c>
      <c r="L18" s="11" t="s">
        <v>362</v>
      </c>
      <c r="M18" s="11" t="s">
        <v>363</v>
      </c>
      <c r="N18" s="11" t="s">
        <v>364</v>
      </c>
      <c r="O18" s="11" t="s">
        <v>365</v>
      </c>
      <c r="P18" s="11" t="s">
        <v>366</v>
      </c>
      <c r="Q18" s="11" t="s">
        <v>367</v>
      </c>
      <c r="R18" s="11" t="s">
        <v>37</v>
      </c>
      <c r="S18" s="11" t="s">
        <v>368</v>
      </c>
      <c r="T18" s="11" t="n">
        <v>18</v>
      </c>
      <c r="U18" s="11" t="s">
        <v>369</v>
      </c>
      <c r="V18" s="11" t="s">
        <v>197</v>
      </c>
      <c r="W18" s="11" t="s">
        <v>198</v>
      </c>
      <c r="X18" s="11" t="s">
        <v>370</v>
      </c>
      <c r="Y18" s="11" t="s">
        <v>371</v>
      </c>
      <c r="Z18" s="11" t="s">
        <v>276</v>
      </c>
      <c r="AA18" s="11"/>
      <c r="AB18" s="11" t="s">
        <v>185</v>
      </c>
    </row>
    <row r="19" customFormat="false" ht="150" hidden="false" customHeight="true" outlineLevel="0" collapsed="false">
      <c r="A19" s="13" t="s">
        <v>89</v>
      </c>
      <c r="B19" s="13" t="s">
        <v>86</v>
      </c>
      <c r="C19" s="13" t="s">
        <v>90</v>
      </c>
      <c r="D19" s="13"/>
      <c r="E19" s="13" t="s">
        <v>91</v>
      </c>
      <c r="F19" s="13" t="s">
        <v>372</v>
      </c>
      <c r="G19" s="13" t="s">
        <v>373</v>
      </c>
      <c r="H19" s="13" t="s">
        <v>374</v>
      </c>
      <c r="I19" s="13" t="s">
        <v>375</v>
      </c>
      <c r="J19" s="13" t="s">
        <v>376</v>
      </c>
      <c r="K19" s="13" t="s">
        <v>377</v>
      </c>
      <c r="L19" s="13" t="s">
        <v>378</v>
      </c>
      <c r="M19" s="13" t="s">
        <v>379</v>
      </c>
      <c r="N19" s="13" t="s">
        <v>380</v>
      </c>
      <c r="O19" s="13" t="s">
        <v>381</v>
      </c>
      <c r="P19" s="13" t="s">
        <v>382</v>
      </c>
      <c r="Q19" s="13" t="s">
        <v>383</v>
      </c>
      <c r="R19" s="13" t="s">
        <v>37</v>
      </c>
      <c r="S19" s="13" t="s">
        <v>384</v>
      </c>
      <c r="T19" s="13" t="n">
        <v>20</v>
      </c>
      <c r="U19" s="13" t="s">
        <v>216</v>
      </c>
      <c r="V19" s="13" t="s">
        <v>235</v>
      </c>
      <c r="W19" s="13" t="s">
        <v>218</v>
      </c>
      <c r="X19" s="13" t="s">
        <v>385</v>
      </c>
      <c r="Y19" s="13" t="s">
        <v>386</v>
      </c>
      <c r="Z19" s="13" t="s">
        <v>387</v>
      </c>
      <c r="AA19" s="13"/>
      <c r="AB19" s="13" t="s">
        <v>185</v>
      </c>
    </row>
    <row r="20" customFormat="false" ht="150" hidden="false" customHeight="true" outlineLevel="0" collapsed="false">
      <c r="A20" s="13" t="s">
        <v>92</v>
      </c>
      <c r="B20" s="13" t="s">
        <v>86</v>
      </c>
      <c r="C20" s="13" t="s">
        <v>93</v>
      </c>
      <c r="D20" s="13"/>
      <c r="E20" s="13" t="s">
        <v>94</v>
      </c>
      <c r="F20" s="13" t="s">
        <v>372</v>
      </c>
      <c r="G20" s="13" t="s">
        <v>388</v>
      </c>
      <c r="H20" s="13" t="s">
        <v>389</v>
      </c>
      <c r="I20" s="13" t="s">
        <v>390</v>
      </c>
      <c r="J20" s="13" t="s">
        <v>391</v>
      </c>
      <c r="K20" s="13" t="s">
        <v>392</v>
      </c>
      <c r="L20" s="13" t="s">
        <v>393</v>
      </c>
      <c r="M20" s="13" t="s">
        <v>394</v>
      </c>
      <c r="N20" s="13" t="s">
        <v>395</v>
      </c>
      <c r="O20" s="13" t="s">
        <v>396</v>
      </c>
      <c r="P20" s="13" t="s">
        <v>397</v>
      </c>
      <c r="Q20" s="13" t="s">
        <v>398</v>
      </c>
      <c r="R20" s="13" t="s">
        <v>95</v>
      </c>
      <c r="S20" s="13" t="s">
        <v>399</v>
      </c>
      <c r="T20" s="13" t="n">
        <v>20</v>
      </c>
      <c r="U20" s="13" t="s">
        <v>216</v>
      </c>
      <c r="V20" s="13" t="s">
        <v>235</v>
      </c>
      <c r="W20" s="13" t="s">
        <v>218</v>
      </c>
      <c r="X20" s="13" t="s">
        <v>400</v>
      </c>
      <c r="Y20" s="13" t="s">
        <v>401</v>
      </c>
      <c r="Z20" s="13" t="s">
        <v>402</v>
      </c>
      <c r="AA20" s="13"/>
      <c r="AB20" s="13" t="s">
        <v>185</v>
      </c>
    </row>
    <row r="21" customFormat="false" ht="150" hidden="false" customHeight="true" outlineLevel="0" collapsed="false">
      <c r="A21" s="13" t="s">
        <v>96</v>
      </c>
      <c r="B21" s="13" t="s">
        <v>86</v>
      </c>
      <c r="C21" s="13" t="s">
        <v>97</v>
      </c>
      <c r="D21" s="13"/>
      <c r="E21" s="13" t="s">
        <v>98</v>
      </c>
      <c r="F21" s="13" t="s">
        <v>403</v>
      </c>
      <c r="G21" s="13" t="s">
        <v>166</v>
      </c>
      <c r="H21" s="13" t="s">
        <v>404</v>
      </c>
      <c r="I21" s="13" t="s">
        <v>405</v>
      </c>
      <c r="J21" s="13" t="s">
        <v>406</v>
      </c>
      <c r="K21" s="13" t="s">
        <v>407</v>
      </c>
      <c r="L21" s="13" t="s">
        <v>408</v>
      </c>
      <c r="M21" s="13" t="s">
        <v>409</v>
      </c>
      <c r="N21" s="13" t="s">
        <v>410</v>
      </c>
      <c r="O21" s="13" t="s">
        <v>411</v>
      </c>
      <c r="P21" s="13" t="s">
        <v>412</v>
      </c>
      <c r="Q21" s="13" t="s">
        <v>272</v>
      </c>
      <c r="R21" s="13" t="s">
        <v>37</v>
      </c>
      <c r="S21" s="13" t="s">
        <v>413</v>
      </c>
      <c r="T21" s="13" t="n">
        <v>14</v>
      </c>
      <c r="U21" s="13" t="s">
        <v>216</v>
      </c>
      <c r="V21" s="13" t="s">
        <v>235</v>
      </c>
      <c r="W21" s="13" t="s">
        <v>218</v>
      </c>
      <c r="X21" s="13" t="s">
        <v>414</v>
      </c>
      <c r="Y21" s="13" t="s">
        <v>415</v>
      </c>
      <c r="Z21" s="13" t="s">
        <v>276</v>
      </c>
      <c r="AA21" s="13"/>
      <c r="AB21" s="13" t="s">
        <v>185</v>
      </c>
    </row>
    <row r="22" customFormat="false" ht="150" hidden="false" customHeight="true" outlineLevel="0" collapsed="false">
      <c r="A22" s="13" t="s">
        <v>99</v>
      </c>
      <c r="B22" s="13" t="s">
        <v>86</v>
      </c>
      <c r="C22" s="13" t="s">
        <v>100</v>
      </c>
      <c r="D22" s="13"/>
      <c r="E22" s="13" t="s">
        <v>101</v>
      </c>
      <c r="F22" s="13" t="s">
        <v>416</v>
      </c>
      <c r="G22" s="13" t="s">
        <v>223</v>
      </c>
      <c r="H22" s="13" t="s">
        <v>417</v>
      </c>
      <c r="I22" s="13" t="s">
        <v>418</v>
      </c>
      <c r="J22" s="13" t="s">
        <v>419</v>
      </c>
      <c r="K22" s="13" t="s">
        <v>420</v>
      </c>
      <c r="L22" s="13" t="s">
        <v>421</v>
      </c>
      <c r="M22" s="13" t="s">
        <v>422</v>
      </c>
      <c r="N22" s="13" t="s">
        <v>423</v>
      </c>
      <c r="O22" s="13" t="s">
        <v>424</v>
      </c>
      <c r="P22" s="13" t="s">
        <v>425</v>
      </c>
      <c r="Q22" s="13" t="s">
        <v>383</v>
      </c>
      <c r="R22" s="13" t="s">
        <v>37</v>
      </c>
      <c r="S22" s="13" t="s">
        <v>426</v>
      </c>
      <c r="T22" s="13" t="n">
        <v>14</v>
      </c>
      <c r="U22" s="13" t="s">
        <v>216</v>
      </c>
      <c r="V22" s="13" t="s">
        <v>235</v>
      </c>
      <c r="W22" s="13" t="s">
        <v>218</v>
      </c>
      <c r="X22" s="13" t="s">
        <v>427</v>
      </c>
      <c r="Y22" s="13" t="s">
        <v>428</v>
      </c>
      <c r="Z22" s="13" t="s">
        <v>276</v>
      </c>
      <c r="AA22" s="13"/>
      <c r="AB22" s="13" t="s">
        <v>185</v>
      </c>
    </row>
    <row r="23" customFormat="false" ht="150" hidden="false" customHeight="true" outlineLevel="0" collapsed="false">
      <c r="A23" s="13" t="s">
        <v>102</v>
      </c>
      <c r="B23" s="13" t="s">
        <v>86</v>
      </c>
      <c r="C23" s="13" t="s">
        <v>103</v>
      </c>
      <c r="D23" s="13"/>
      <c r="E23" s="13" t="s">
        <v>104</v>
      </c>
      <c r="F23" s="13" t="s">
        <v>429</v>
      </c>
      <c r="G23" s="13" t="s">
        <v>430</v>
      </c>
      <c r="H23" s="13" t="s">
        <v>431</v>
      </c>
      <c r="I23" s="13" t="s">
        <v>432</v>
      </c>
      <c r="J23" s="13" t="s">
        <v>433</v>
      </c>
      <c r="K23" s="13" t="s">
        <v>434</v>
      </c>
      <c r="L23" s="13" t="s">
        <v>435</v>
      </c>
      <c r="M23" s="13" t="s">
        <v>436</v>
      </c>
      <c r="N23" s="13" t="s">
        <v>437</v>
      </c>
      <c r="O23" s="13" t="s">
        <v>438</v>
      </c>
      <c r="P23" s="13" t="s">
        <v>439</v>
      </c>
      <c r="Q23" s="13" t="s">
        <v>272</v>
      </c>
      <c r="R23" s="13" t="s">
        <v>37</v>
      </c>
      <c r="S23" s="13" t="s">
        <v>413</v>
      </c>
      <c r="T23" s="13" t="n">
        <v>14</v>
      </c>
      <c r="U23" s="13" t="s">
        <v>216</v>
      </c>
      <c r="V23" s="13" t="s">
        <v>235</v>
      </c>
      <c r="W23" s="13" t="s">
        <v>218</v>
      </c>
      <c r="X23" s="13" t="s">
        <v>440</v>
      </c>
      <c r="Y23" s="13" t="s">
        <v>441</v>
      </c>
      <c r="Z23" s="13" t="s">
        <v>387</v>
      </c>
      <c r="AA23" s="13"/>
      <c r="AB23" s="13" t="s">
        <v>185</v>
      </c>
    </row>
    <row r="24" customFormat="false" ht="150" hidden="false" customHeight="true" outlineLevel="0" collapsed="false">
      <c r="A24" s="13" t="s">
        <v>105</v>
      </c>
      <c r="B24" s="13" t="s">
        <v>86</v>
      </c>
      <c r="C24" s="13" t="s">
        <v>106</v>
      </c>
      <c r="D24" s="13"/>
      <c r="E24" s="13" t="s">
        <v>107</v>
      </c>
      <c r="F24" s="13" t="s">
        <v>165</v>
      </c>
      <c r="G24" s="13" t="s">
        <v>166</v>
      </c>
      <c r="H24" s="13" t="s">
        <v>442</v>
      </c>
      <c r="I24" s="13" t="s">
        <v>168</v>
      </c>
      <c r="J24" s="13" t="s">
        <v>443</v>
      </c>
      <c r="K24" s="13" t="s">
        <v>444</v>
      </c>
      <c r="L24" s="13" t="s">
        <v>445</v>
      </c>
      <c r="M24" s="13" t="s">
        <v>446</v>
      </c>
      <c r="N24" s="13" t="s">
        <v>447</v>
      </c>
      <c r="O24" s="13" t="s">
        <v>448</v>
      </c>
      <c r="P24" s="13" t="s">
        <v>449</v>
      </c>
      <c r="Q24" s="13" t="s">
        <v>450</v>
      </c>
      <c r="R24" s="13" t="s">
        <v>37</v>
      </c>
      <c r="S24" s="13" t="s">
        <v>451</v>
      </c>
      <c r="T24" s="13" t="n">
        <v>14</v>
      </c>
      <c r="U24" s="13" t="s">
        <v>216</v>
      </c>
      <c r="V24" s="13" t="s">
        <v>235</v>
      </c>
      <c r="W24" s="13" t="s">
        <v>218</v>
      </c>
      <c r="X24" s="13" t="s">
        <v>452</v>
      </c>
      <c r="Y24" s="13" t="s">
        <v>453</v>
      </c>
      <c r="Z24" s="13" t="s">
        <v>454</v>
      </c>
      <c r="AA24" s="13"/>
      <c r="AB24" s="13" t="s">
        <v>185</v>
      </c>
    </row>
    <row r="25" customFormat="false" ht="150" hidden="false" customHeight="true" outlineLevel="0" collapsed="false">
      <c r="A25" s="13" t="s">
        <v>108</v>
      </c>
      <c r="B25" s="13" t="s">
        <v>86</v>
      </c>
      <c r="C25" s="13" t="s">
        <v>109</v>
      </c>
      <c r="D25" s="13"/>
      <c r="E25" s="13" t="s">
        <v>110</v>
      </c>
      <c r="F25" s="13" t="s">
        <v>165</v>
      </c>
      <c r="G25" s="13" t="s">
        <v>166</v>
      </c>
      <c r="H25" s="13" t="s">
        <v>455</v>
      </c>
      <c r="I25" s="13" t="s">
        <v>168</v>
      </c>
      <c r="J25" s="13" t="s">
        <v>456</v>
      </c>
      <c r="K25" s="13" t="s">
        <v>457</v>
      </c>
      <c r="L25" s="13" t="s">
        <v>458</v>
      </c>
      <c r="M25" s="13" t="s">
        <v>459</v>
      </c>
      <c r="N25" s="13" t="s">
        <v>460</v>
      </c>
      <c r="O25" s="13" t="s">
        <v>461</v>
      </c>
      <c r="P25" s="13" t="s">
        <v>462</v>
      </c>
      <c r="Q25" s="13" t="s">
        <v>463</v>
      </c>
      <c r="R25" s="13" t="s">
        <v>37</v>
      </c>
      <c r="S25" s="13" t="s">
        <v>464</v>
      </c>
      <c r="T25" s="13" t="n">
        <v>27</v>
      </c>
      <c r="U25" s="13" t="s">
        <v>465</v>
      </c>
      <c r="V25" s="13" t="s">
        <v>288</v>
      </c>
      <c r="W25" s="13" t="s">
        <v>466</v>
      </c>
      <c r="X25" s="13" t="s">
        <v>467</v>
      </c>
      <c r="Y25" s="13" t="s">
        <v>468</v>
      </c>
      <c r="Z25" s="13" t="s">
        <v>276</v>
      </c>
      <c r="AA25" s="13"/>
      <c r="AB25" s="13" t="s">
        <v>185</v>
      </c>
    </row>
    <row r="26" customFormat="false" ht="150" hidden="false" customHeight="true" outlineLevel="0" collapsed="false">
      <c r="A26" s="13" t="s">
        <v>111</v>
      </c>
      <c r="B26" s="13" t="s">
        <v>86</v>
      </c>
      <c r="C26" s="13" t="s">
        <v>112</v>
      </c>
      <c r="D26" s="13"/>
      <c r="E26" s="13" t="s">
        <v>113</v>
      </c>
      <c r="F26" s="13" t="s">
        <v>165</v>
      </c>
      <c r="G26" s="13" t="s">
        <v>166</v>
      </c>
      <c r="H26" s="13" t="s">
        <v>442</v>
      </c>
      <c r="I26" s="13" t="s">
        <v>168</v>
      </c>
      <c r="J26" s="13" t="s">
        <v>469</v>
      </c>
      <c r="K26" s="13" t="s">
        <v>470</v>
      </c>
      <c r="L26" s="13" t="s">
        <v>471</v>
      </c>
      <c r="M26" s="13" t="s">
        <v>472</v>
      </c>
      <c r="N26" s="13" t="s">
        <v>447</v>
      </c>
      <c r="O26" s="13" t="s">
        <v>473</v>
      </c>
      <c r="P26" s="13" t="s">
        <v>449</v>
      </c>
      <c r="Q26" s="13" t="s">
        <v>474</v>
      </c>
      <c r="R26" s="13" t="s">
        <v>37</v>
      </c>
      <c r="S26" s="13" t="s">
        <v>475</v>
      </c>
      <c r="T26" s="13" t="n">
        <v>6</v>
      </c>
      <c r="U26" s="13" t="s">
        <v>313</v>
      </c>
      <c r="V26" s="13" t="s">
        <v>314</v>
      </c>
      <c r="W26" s="13" t="s">
        <v>315</v>
      </c>
      <c r="X26" s="13" t="s">
        <v>476</v>
      </c>
      <c r="Y26" s="13" t="s">
        <v>477</v>
      </c>
      <c r="Z26" s="13" t="s">
        <v>276</v>
      </c>
      <c r="AA26" s="13"/>
      <c r="AB26" s="13" t="s">
        <v>185</v>
      </c>
    </row>
    <row r="27" customFormat="false" ht="150" hidden="false" customHeight="true" outlineLevel="0" collapsed="false">
      <c r="A27" s="15" t="s">
        <v>117</v>
      </c>
      <c r="B27" s="15" t="s">
        <v>114</v>
      </c>
      <c r="C27" s="15" t="s">
        <v>118</v>
      </c>
      <c r="D27" s="15"/>
      <c r="E27" s="15" t="s">
        <v>119</v>
      </c>
      <c r="F27" s="15" t="s">
        <v>478</v>
      </c>
      <c r="G27" s="15" t="s">
        <v>479</v>
      </c>
      <c r="H27" s="15" t="s">
        <v>480</v>
      </c>
      <c r="I27" s="15" t="s">
        <v>481</v>
      </c>
      <c r="J27" s="15" t="s">
        <v>226</v>
      </c>
      <c r="K27" s="15" t="s">
        <v>482</v>
      </c>
      <c r="L27" s="15" t="s">
        <v>483</v>
      </c>
      <c r="M27" s="15" t="s">
        <v>484</v>
      </c>
      <c r="N27" s="15" t="s">
        <v>485</v>
      </c>
      <c r="O27" s="15" t="s">
        <v>486</v>
      </c>
      <c r="P27" s="15" t="s">
        <v>487</v>
      </c>
      <c r="Q27" s="15" t="s">
        <v>488</v>
      </c>
      <c r="R27" s="15" t="s">
        <v>37</v>
      </c>
      <c r="S27" s="15" t="s">
        <v>489</v>
      </c>
      <c r="T27" s="15" t="n">
        <v>23</v>
      </c>
      <c r="U27" s="15" t="s">
        <v>178</v>
      </c>
      <c r="V27" s="15" t="s">
        <v>288</v>
      </c>
      <c r="W27" s="15" t="s">
        <v>490</v>
      </c>
      <c r="X27" s="15" t="s">
        <v>491</v>
      </c>
      <c r="Y27" s="15" t="s">
        <v>492</v>
      </c>
      <c r="Z27" s="15" t="s">
        <v>276</v>
      </c>
      <c r="AA27" s="15"/>
      <c r="AB27" s="15" t="s">
        <v>185</v>
      </c>
    </row>
    <row r="28" customFormat="false" ht="150" hidden="false" customHeight="true" outlineLevel="0" collapsed="false">
      <c r="A28" s="15" t="s">
        <v>120</v>
      </c>
      <c r="B28" s="15" t="s">
        <v>114</v>
      </c>
      <c r="C28" s="15" t="s">
        <v>121</v>
      </c>
      <c r="D28" s="15"/>
      <c r="E28" s="15" t="s">
        <v>122</v>
      </c>
      <c r="F28" s="15" t="s">
        <v>493</v>
      </c>
      <c r="G28" s="15" t="s">
        <v>494</v>
      </c>
      <c r="H28" s="15" t="s">
        <v>495</v>
      </c>
      <c r="I28" s="15" t="s">
        <v>496</v>
      </c>
      <c r="J28" s="15" t="s">
        <v>497</v>
      </c>
      <c r="K28" s="15" t="s">
        <v>498</v>
      </c>
      <c r="L28" s="15" t="s">
        <v>499</v>
      </c>
      <c r="M28" s="15" t="s">
        <v>500</v>
      </c>
      <c r="N28" s="15" t="s">
        <v>501</v>
      </c>
      <c r="O28" s="15" t="s">
        <v>502</v>
      </c>
      <c r="P28" s="15" t="s">
        <v>503</v>
      </c>
      <c r="Q28" s="15" t="s">
        <v>504</v>
      </c>
      <c r="R28" s="15" t="s">
        <v>37</v>
      </c>
      <c r="S28" s="15" t="s">
        <v>505</v>
      </c>
      <c r="T28" s="15" t="n">
        <v>12</v>
      </c>
      <c r="U28" s="15" t="s">
        <v>506</v>
      </c>
      <c r="V28" s="15" t="s">
        <v>235</v>
      </c>
      <c r="W28" s="15" t="s">
        <v>218</v>
      </c>
      <c r="X28" s="15" t="s">
        <v>507</v>
      </c>
      <c r="Y28" s="15" t="s">
        <v>508</v>
      </c>
      <c r="Z28" s="15" t="s">
        <v>509</v>
      </c>
      <c r="AA28" s="15"/>
      <c r="AB28" s="15" t="s">
        <v>185</v>
      </c>
    </row>
    <row r="29" customFormat="false" ht="150" hidden="false" customHeight="true" outlineLevel="0" collapsed="false">
      <c r="A29" s="17" t="s">
        <v>126</v>
      </c>
      <c r="B29" s="17" t="s">
        <v>123</v>
      </c>
      <c r="C29" s="17" t="s">
        <v>127</v>
      </c>
      <c r="D29" s="17"/>
      <c r="E29" s="17" t="s">
        <v>128</v>
      </c>
      <c r="F29" s="17" t="s">
        <v>510</v>
      </c>
      <c r="G29" s="17" t="s">
        <v>511</v>
      </c>
      <c r="H29" s="17" t="s">
        <v>512</v>
      </c>
      <c r="I29" s="17" t="s">
        <v>513</v>
      </c>
      <c r="J29" s="17" t="s">
        <v>497</v>
      </c>
      <c r="K29" s="17" t="s">
        <v>514</v>
      </c>
      <c r="L29" s="17" t="s">
        <v>515</v>
      </c>
      <c r="M29" s="17" t="s">
        <v>516</v>
      </c>
      <c r="N29" s="17" t="s">
        <v>517</v>
      </c>
      <c r="O29" s="17" t="s">
        <v>518</v>
      </c>
      <c r="P29" s="17" t="s">
        <v>519</v>
      </c>
      <c r="Q29" s="17" t="s">
        <v>383</v>
      </c>
      <c r="R29" s="17" t="s">
        <v>129</v>
      </c>
      <c r="S29" s="17" t="s">
        <v>520</v>
      </c>
      <c r="T29" s="17" t="n">
        <v>12</v>
      </c>
      <c r="U29" s="17" t="s">
        <v>506</v>
      </c>
      <c r="V29" s="17" t="s">
        <v>521</v>
      </c>
      <c r="W29" s="17" t="s">
        <v>218</v>
      </c>
      <c r="X29" s="17" t="s">
        <v>522</v>
      </c>
      <c r="Y29" s="17" t="s">
        <v>523</v>
      </c>
      <c r="Z29" s="17" t="s">
        <v>221</v>
      </c>
      <c r="AA29" s="17"/>
      <c r="AB29" s="17" t="s">
        <v>185</v>
      </c>
    </row>
    <row r="30" customFormat="false" ht="150" hidden="false" customHeight="true" outlineLevel="0" collapsed="false">
      <c r="A30" s="17" t="s">
        <v>130</v>
      </c>
      <c r="B30" s="17" t="s">
        <v>123</v>
      </c>
      <c r="C30" s="17" t="s">
        <v>131</v>
      </c>
      <c r="D30" s="17"/>
      <c r="E30" s="17" t="s">
        <v>132</v>
      </c>
      <c r="F30" s="17" t="s">
        <v>510</v>
      </c>
      <c r="G30" s="17" t="s">
        <v>524</v>
      </c>
      <c r="H30" s="17" t="s">
        <v>525</v>
      </c>
      <c r="I30" s="17" t="s">
        <v>526</v>
      </c>
      <c r="J30" s="17" t="s">
        <v>226</v>
      </c>
      <c r="K30" s="17" t="s">
        <v>527</v>
      </c>
      <c r="L30" s="17" t="s">
        <v>528</v>
      </c>
      <c r="M30" s="17" t="s">
        <v>529</v>
      </c>
      <c r="N30" s="17" t="s">
        <v>437</v>
      </c>
      <c r="O30" s="17" t="s">
        <v>530</v>
      </c>
      <c r="P30" s="17" t="s">
        <v>531</v>
      </c>
      <c r="Q30" s="17" t="s">
        <v>367</v>
      </c>
      <c r="R30" s="17" t="s">
        <v>133</v>
      </c>
      <c r="S30" s="17" t="s">
        <v>413</v>
      </c>
      <c r="T30" s="17" t="n">
        <v>14</v>
      </c>
      <c r="U30" s="17" t="s">
        <v>216</v>
      </c>
      <c r="V30" s="17" t="s">
        <v>521</v>
      </c>
      <c r="W30" s="17" t="s">
        <v>218</v>
      </c>
      <c r="X30" s="17" t="s">
        <v>532</v>
      </c>
      <c r="Y30" s="17" t="s">
        <v>533</v>
      </c>
      <c r="Z30" s="17" t="s">
        <v>276</v>
      </c>
      <c r="AA30" s="17"/>
      <c r="AB30" s="17" t="s">
        <v>185</v>
      </c>
    </row>
    <row r="31" customFormat="false" ht="150" hidden="false" customHeight="true" outlineLevel="0" collapsed="false">
      <c r="A31" s="17" t="s">
        <v>134</v>
      </c>
      <c r="B31" s="17" t="s">
        <v>123</v>
      </c>
      <c r="C31" s="17" t="s">
        <v>135</v>
      </c>
      <c r="D31" s="17"/>
      <c r="E31" s="17" t="s">
        <v>136</v>
      </c>
      <c r="F31" s="17" t="s">
        <v>165</v>
      </c>
      <c r="G31" s="17" t="s">
        <v>166</v>
      </c>
      <c r="H31" s="17" t="s">
        <v>534</v>
      </c>
      <c r="I31" s="17" t="s">
        <v>168</v>
      </c>
      <c r="J31" s="17" t="s">
        <v>535</v>
      </c>
      <c r="K31" s="17" t="s">
        <v>536</v>
      </c>
      <c r="L31" s="17" t="s">
        <v>537</v>
      </c>
      <c r="M31" s="17" t="s">
        <v>538</v>
      </c>
      <c r="N31" s="17" t="s">
        <v>539</v>
      </c>
      <c r="O31" s="17" t="s">
        <v>540</v>
      </c>
      <c r="P31" s="17" t="s">
        <v>541</v>
      </c>
      <c r="Q31" s="17" t="s">
        <v>450</v>
      </c>
      <c r="R31" s="17" t="s">
        <v>137</v>
      </c>
      <c r="S31" s="17" t="s">
        <v>542</v>
      </c>
      <c r="T31" s="17" t="n">
        <v>6</v>
      </c>
      <c r="U31" s="17" t="s">
        <v>543</v>
      </c>
      <c r="V31" s="17" t="s">
        <v>197</v>
      </c>
      <c r="W31" s="17" t="s">
        <v>198</v>
      </c>
      <c r="X31" s="17" t="s">
        <v>544</v>
      </c>
      <c r="Y31" s="17" t="s">
        <v>545</v>
      </c>
      <c r="Z31" s="17" t="s">
        <v>221</v>
      </c>
      <c r="AA31" s="17"/>
      <c r="AB31" s="17" t="s">
        <v>185</v>
      </c>
    </row>
    <row r="32" customFormat="false" ht="150" hidden="false" customHeight="true" outlineLevel="0" collapsed="false">
      <c r="A32" s="17" t="s">
        <v>138</v>
      </c>
      <c r="B32" s="17" t="s">
        <v>123</v>
      </c>
      <c r="C32" s="17" t="s">
        <v>139</v>
      </c>
      <c r="D32" s="17"/>
      <c r="E32" s="17" t="s">
        <v>140</v>
      </c>
      <c r="F32" s="17" t="s">
        <v>546</v>
      </c>
      <c r="G32" s="17" t="s">
        <v>547</v>
      </c>
      <c r="H32" s="17" t="s">
        <v>548</v>
      </c>
      <c r="I32" s="17" t="s">
        <v>549</v>
      </c>
      <c r="J32" s="17" t="s">
        <v>550</v>
      </c>
      <c r="K32" s="17" t="s">
        <v>551</v>
      </c>
      <c r="L32" s="17" t="s">
        <v>552</v>
      </c>
      <c r="M32" s="17" t="s">
        <v>553</v>
      </c>
      <c r="N32" s="17" t="s">
        <v>554</v>
      </c>
      <c r="O32" s="17" t="s">
        <v>555</v>
      </c>
      <c r="P32" s="17" t="s">
        <v>531</v>
      </c>
      <c r="Q32" s="17" t="s">
        <v>398</v>
      </c>
      <c r="R32" s="17" t="s">
        <v>133</v>
      </c>
      <c r="S32" s="17" t="s">
        <v>556</v>
      </c>
      <c r="T32" s="17" t="n">
        <v>12</v>
      </c>
      <c r="U32" s="17" t="s">
        <v>557</v>
      </c>
      <c r="V32" s="17" t="s">
        <v>197</v>
      </c>
      <c r="W32" s="17" t="s">
        <v>198</v>
      </c>
      <c r="X32" s="17" t="s">
        <v>558</v>
      </c>
      <c r="Y32" s="17" t="s">
        <v>559</v>
      </c>
      <c r="Z32" s="17" t="s">
        <v>276</v>
      </c>
      <c r="AA32" s="17"/>
      <c r="AB32" s="17" t="s">
        <v>185</v>
      </c>
    </row>
  </sheetData>
  <autoFilter ref="A4:AB3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4"/>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30"/>
    <col collapsed="false" customWidth="true" hidden="false" outlineLevel="0" max="3" min="3" style="0" width="40"/>
    <col collapsed="false" customWidth="true" hidden="false" outlineLevel="0" max="4" min="4" style="0" width="90"/>
  </cols>
  <sheetData>
    <row r="1" customFormat="false" ht="17.35" hidden="false" customHeight="false" outlineLevel="0" collapsed="false">
      <c r="A1" s="1" t="s">
        <v>560</v>
      </c>
    </row>
    <row r="2" customFormat="false" ht="15" hidden="false" customHeight="false" outlineLevel="0" collapsed="false">
      <c r="A2" s="2" t="s">
        <v>561</v>
      </c>
    </row>
    <row r="4" customFormat="false" ht="15" hidden="false" customHeight="false" outlineLevel="0" collapsed="false">
      <c r="A4" s="5" t="s">
        <v>562</v>
      </c>
      <c r="B4" s="5" t="s">
        <v>563</v>
      </c>
      <c r="C4" s="5" t="s">
        <v>564</v>
      </c>
      <c r="D4" s="5" t="s">
        <v>565</v>
      </c>
    </row>
    <row r="5" customFormat="false" ht="15" hidden="false" customHeight="false" outlineLevel="0" collapsed="false">
      <c r="A5" s="18" t="s">
        <v>566</v>
      </c>
      <c r="B5" s="18" t="s">
        <v>567</v>
      </c>
      <c r="C5" s="18" t="s">
        <v>568</v>
      </c>
      <c r="D5" s="18" t="s">
        <v>569</v>
      </c>
    </row>
    <row r="6" customFormat="false" ht="15" hidden="false" customHeight="false" outlineLevel="0" collapsed="false">
      <c r="A6" s="18" t="s">
        <v>570</v>
      </c>
      <c r="B6" s="18" t="s">
        <v>571</v>
      </c>
      <c r="C6" s="18" t="s">
        <v>572</v>
      </c>
      <c r="D6" s="18" t="s">
        <v>573</v>
      </c>
    </row>
    <row r="7" customFormat="false" ht="15" hidden="false" customHeight="false" outlineLevel="0" collapsed="false">
      <c r="A7" s="18" t="s">
        <v>574</v>
      </c>
      <c r="B7" s="18" t="s">
        <v>575</v>
      </c>
      <c r="C7" s="18" t="s">
        <v>576</v>
      </c>
      <c r="D7" s="18" t="s">
        <v>577</v>
      </c>
    </row>
    <row r="8" customFormat="false" ht="15" hidden="false" customHeight="false" outlineLevel="0" collapsed="false">
      <c r="A8" s="18" t="s">
        <v>578</v>
      </c>
      <c r="B8" s="18" t="s">
        <v>579</v>
      </c>
      <c r="C8" s="18" t="s">
        <v>580</v>
      </c>
      <c r="D8" s="18" t="s">
        <v>581</v>
      </c>
    </row>
    <row r="9" customFormat="false" ht="15" hidden="false" customHeight="false" outlineLevel="0" collapsed="false">
      <c r="A9" s="18" t="s">
        <v>582</v>
      </c>
      <c r="B9" s="18" t="s">
        <v>583</v>
      </c>
      <c r="C9" s="18" t="s">
        <v>584</v>
      </c>
      <c r="D9" s="18" t="s">
        <v>585</v>
      </c>
    </row>
    <row r="10" customFormat="false" ht="15" hidden="false" customHeight="false" outlineLevel="0" collapsed="false">
      <c r="A10" s="18" t="s">
        <v>586</v>
      </c>
      <c r="B10" s="18" t="s">
        <v>587</v>
      </c>
      <c r="C10" s="18" t="s">
        <v>588</v>
      </c>
      <c r="D10" s="18" t="s">
        <v>589</v>
      </c>
    </row>
    <row r="11" customFormat="false" ht="15" hidden="false" customHeight="false" outlineLevel="0" collapsed="false">
      <c r="A11" s="18" t="s">
        <v>590</v>
      </c>
      <c r="B11" s="18" t="s">
        <v>591</v>
      </c>
      <c r="C11" s="18" t="s">
        <v>592</v>
      </c>
      <c r="D11" s="18" t="s">
        <v>593</v>
      </c>
    </row>
    <row r="12" customFormat="false" ht="15" hidden="false" customHeight="false" outlineLevel="0" collapsed="false">
      <c r="A12" s="18" t="s">
        <v>594</v>
      </c>
      <c r="B12" s="18" t="s">
        <v>595</v>
      </c>
      <c r="C12" s="18" t="s">
        <v>596</v>
      </c>
      <c r="D12" s="18" t="s">
        <v>597</v>
      </c>
    </row>
    <row r="13" customFormat="false" ht="15" hidden="false" customHeight="false" outlineLevel="0" collapsed="false">
      <c r="A13" s="18" t="s">
        <v>598</v>
      </c>
      <c r="B13" s="18" t="s">
        <v>599</v>
      </c>
      <c r="C13" s="18" t="s">
        <v>600</v>
      </c>
      <c r="D13" s="18" t="s">
        <v>601</v>
      </c>
    </row>
    <row r="14" customFormat="false" ht="15" hidden="false" customHeight="false" outlineLevel="0" collapsed="false">
      <c r="A14" s="18" t="s">
        <v>602</v>
      </c>
      <c r="B14" s="18" t="s">
        <v>603</v>
      </c>
      <c r="C14" s="18" t="s">
        <v>604</v>
      </c>
      <c r="D14" s="18" t="s">
        <v>605</v>
      </c>
    </row>
  </sheetData>
  <autoFilter ref="A4:D1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6"/>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40"/>
    <col collapsed="false" customWidth="true" hidden="false" outlineLevel="0" max="3" min="3" style="0" width="9"/>
    <col collapsed="false" customWidth="true" hidden="false" outlineLevel="0" max="4" min="4" style="0" width="40"/>
    <col collapsed="false" customWidth="true" hidden="false" outlineLevel="0" max="5" min="5" style="0" width="16"/>
    <col collapsed="false" customWidth="true" hidden="false" outlineLevel="0" max="6" min="6" style="0" width="90"/>
  </cols>
  <sheetData>
    <row r="1" customFormat="false" ht="17.35" hidden="false" customHeight="false" outlineLevel="0" collapsed="false">
      <c r="A1" s="1" t="s">
        <v>606</v>
      </c>
    </row>
    <row r="2" customFormat="false" ht="15" hidden="false" customHeight="false" outlineLevel="0" collapsed="false">
      <c r="A2" s="2" t="s">
        <v>607</v>
      </c>
    </row>
    <row r="4" customFormat="false" ht="15" hidden="false" customHeight="false" outlineLevel="0" collapsed="false">
      <c r="A4" s="5" t="s">
        <v>608</v>
      </c>
      <c r="B4" s="5" t="s">
        <v>609</v>
      </c>
      <c r="C4" s="5" t="s">
        <v>610</v>
      </c>
      <c r="D4" s="5" t="s">
        <v>611</v>
      </c>
      <c r="E4" s="5" t="s">
        <v>164</v>
      </c>
      <c r="F4" s="5" t="s">
        <v>612</v>
      </c>
    </row>
    <row r="5" customFormat="false" ht="22.35" hidden="false" customHeight="false" outlineLevel="0" collapsed="false">
      <c r="A5" s="18" t="s">
        <v>613</v>
      </c>
      <c r="B5" s="18" t="s">
        <v>614</v>
      </c>
      <c r="C5" s="18" t="s">
        <v>615</v>
      </c>
      <c r="D5" s="18" t="s">
        <v>616</v>
      </c>
      <c r="E5" s="19" t="s">
        <v>617</v>
      </c>
      <c r="F5" s="18" t="s">
        <v>618</v>
      </c>
    </row>
    <row r="6" customFormat="false" ht="15" hidden="false" customHeight="false" outlineLevel="0" collapsed="false">
      <c r="A6" s="18" t="s">
        <v>619</v>
      </c>
      <c r="B6" s="18" t="s">
        <v>620</v>
      </c>
      <c r="C6" s="18" t="s">
        <v>621</v>
      </c>
      <c r="D6" s="18" t="s">
        <v>622</v>
      </c>
      <c r="E6" s="20" t="s">
        <v>623</v>
      </c>
      <c r="F6" s="18" t="s">
        <v>624</v>
      </c>
    </row>
    <row r="7" customFormat="false" ht="15" hidden="false" customHeight="false" outlineLevel="0" collapsed="false">
      <c r="A7" s="18" t="s">
        <v>625</v>
      </c>
      <c r="B7" s="18" t="s">
        <v>626</v>
      </c>
      <c r="C7" s="18" t="s">
        <v>627</v>
      </c>
      <c r="D7" s="18" t="s">
        <v>628</v>
      </c>
      <c r="E7" s="19" t="s">
        <v>617</v>
      </c>
      <c r="F7" s="18" t="s">
        <v>629</v>
      </c>
    </row>
    <row r="8" customFormat="false" ht="15" hidden="false" customHeight="false" outlineLevel="0" collapsed="false">
      <c r="A8" s="18" t="s">
        <v>630</v>
      </c>
      <c r="B8" s="18" t="s">
        <v>631</v>
      </c>
      <c r="C8" s="18" t="s">
        <v>621</v>
      </c>
      <c r="D8" s="18" t="s">
        <v>632</v>
      </c>
      <c r="E8" s="20" t="s">
        <v>623</v>
      </c>
      <c r="F8" s="18" t="s">
        <v>633</v>
      </c>
    </row>
    <row r="9" customFormat="false" ht="15" hidden="false" customHeight="false" outlineLevel="0" collapsed="false">
      <c r="A9" s="18" t="s">
        <v>634</v>
      </c>
      <c r="B9" s="18" t="s">
        <v>635</v>
      </c>
      <c r="C9" s="18" t="s">
        <v>636</v>
      </c>
      <c r="D9" s="18" t="s">
        <v>637</v>
      </c>
      <c r="E9" s="19" t="s">
        <v>617</v>
      </c>
      <c r="F9" s="18" t="s">
        <v>638</v>
      </c>
    </row>
    <row r="10" customFormat="false" ht="15" hidden="false" customHeight="false" outlineLevel="0" collapsed="false">
      <c r="A10" s="18" t="s">
        <v>639</v>
      </c>
      <c r="B10" s="18" t="s">
        <v>640</v>
      </c>
      <c r="C10" s="18" t="s">
        <v>641</v>
      </c>
      <c r="D10" s="18" t="s">
        <v>642</v>
      </c>
      <c r="E10" s="19" t="s">
        <v>617</v>
      </c>
      <c r="F10" s="18" t="s">
        <v>643</v>
      </c>
    </row>
    <row r="11" customFormat="false" ht="15" hidden="false" customHeight="false" outlineLevel="0" collapsed="false">
      <c r="A11" s="18" t="s">
        <v>644</v>
      </c>
      <c r="B11" s="18" t="s">
        <v>645</v>
      </c>
      <c r="C11" s="18" t="s">
        <v>646</v>
      </c>
      <c r="D11" s="18" t="s">
        <v>647</v>
      </c>
      <c r="E11" s="19" t="s">
        <v>617</v>
      </c>
      <c r="F11" s="18" t="s">
        <v>648</v>
      </c>
    </row>
    <row r="12" customFormat="false" ht="15" hidden="false" customHeight="false" outlineLevel="0" collapsed="false">
      <c r="A12" s="18" t="s">
        <v>649</v>
      </c>
      <c r="B12" s="18" t="s">
        <v>650</v>
      </c>
      <c r="C12" s="18" t="s">
        <v>651</v>
      </c>
      <c r="D12" s="18" t="s">
        <v>652</v>
      </c>
      <c r="E12" s="19" t="s">
        <v>617</v>
      </c>
      <c r="F12" s="18" t="s">
        <v>653</v>
      </c>
    </row>
    <row r="13" customFormat="false" ht="22.35" hidden="false" customHeight="false" outlineLevel="0" collapsed="false">
      <c r="A13" s="18" t="s">
        <v>654</v>
      </c>
      <c r="B13" s="18" t="s">
        <v>655</v>
      </c>
      <c r="C13" s="18" t="s">
        <v>656</v>
      </c>
      <c r="D13" s="18" t="s">
        <v>657</v>
      </c>
      <c r="E13" s="20" t="s">
        <v>623</v>
      </c>
      <c r="F13" s="18" t="s">
        <v>658</v>
      </c>
    </row>
    <row r="14" customFormat="false" ht="15" hidden="false" customHeight="false" outlineLevel="0" collapsed="false">
      <c r="A14" s="18" t="s">
        <v>659</v>
      </c>
      <c r="B14" s="18" t="s">
        <v>660</v>
      </c>
      <c r="C14" s="18" t="s">
        <v>615</v>
      </c>
      <c r="D14" s="18" t="s">
        <v>661</v>
      </c>
      <c r="E14" s="21" t="s">
        <v>662</v>
      </c>
      <c r="F14" s="18" t="s">
        <v>663</v>
      </c>
    </row>
    <row r="15" customFormat="false" ht="15" hidden="false" customHeight="false" outlineLevel="0" collapsed="false">
      <c r="A15" s="18" t="s">
        <v>664</v>
      </c>
      <c r="B15" s="18" t="s">
        <v>665</v>
      </c>
      <c r="C15" s="18" t="s">
        <v>666</v>
      </c>
      <c r="D15" s="18" t="s">
        <v>667</v>
      </c>
      <c r="E15" s="21" t="s">
        <v>662</v>
      </c>
      <c r="F15" s="18" t="s">
        <v>668</v>
      </c>
    </row>
    <row r="16" customFormat="false" ht="15" hidden="false" customHeight="false" outlineLevel="0" collapsed="false">
      <c r="A16" s="18" t="s">
        <v>669</v>
      </c>
      <c r="B16" s="18" t="s">
        <v>670</v>
      </c>
      <c r="C16" s="18" t="s">
        <v>666</v>
      </c>
      <c r="D16" s="18" t="s">
        <v>667</v>
      </c>
      <c r="E16" s="21" t="s">
        <v>662</v>
      </c>
      <c r="F16" s="18" t="s">
        <v>671</v>
      </c>
    </row>
    <row r="17" customFormat="false" ht="15" hidden="false" customHeight="false" outlineLevel="0" collapsed="false">
      <c r="A17" s="18" t="s">
        <v>672</v>
      </c>
      <c r="B17" s="18" t="s">
        <v>673</v>
      </c>
      <c r="C17" s="18" t="s">
        <v>615</v>
      </c>
      <c r="D17" s="18" t="s">
        <v>674</v>
      </c>
      <c r="E17" s="21" t="s">
        <v>662</v>
      </c>
      <c r="F17" s="18" t="s">
        <v>675</v>
      </c>
    </row>
    <row r="18" customFormat="false" ht="15" hidden="false" customHeight="false" outlineLevel="0" collapsed="false">
      <c r="A18" s="18" t="s">
        <v>676</v>
      </c>
      <c r="B18" s="18" t="s">
        <v>677</v>
      </c>
      <c r="C18" s="18" t="s">
        <v>678</v>
      </c>
      <c r="D18" s="18" t="s">
        <v>679</v>
      </c>
      <c r="E18" s="20" t="s">
        <v>623</v>
      </c>
      <c r="F18" s="18" t="s">
        <v>680</v>
      </c>
    </row>
    <row r="19" customFormat="false" ht="22.35" hidden="false" customHeight="false" outlineLevel="0" collapsed="false">
      <c r="A19" s="18" t="s">
        <v>681</v>
      </c>
      <c r="B19" s="18" t="s">
        <v>682</v>
      </c>
      <c r="C19" s="18" t="s">
        <v>666</v>
      </c>
      <c r="D19" s="18" t="s">
        <v>683</v>
      </c>
      <c r="E19" s="20" t="s">
        <v>623</v>
      </c>
      <c r="F19" s="18" t="s">
        <v>684</v>
      </c>
    </row>
    <row r="20" customFormat="false" ht="15" hidden="false" customHeight="false" outlineLevel="0" collapsed="false">
      <c r="A20" s="18" t="s">
        <v>685</v>
      </c>
      <c r="B20" s="18" t="s">
        <v>686</v>
      </c>
      <c r="C20" s="18" t="s">
        <v>687</v>
      </c>
      <c r="D20" s="18" t="s">
        <v>688</v>
      </c>
      <c r="E20" s="21" t="s">
        <v>662</v>
      </c>
      <c r="F20" s="18" t="s">
        <v>689</v>
      </c>
    </row>
    <row r="21" customFormat="false" ht="15" hidden="false" customHeight="false" outlineLevel="0" collapsed="false">
      <c r="A21" s="18" t="s">
        <v>690</v>
      </c>
      <c r="B21" s="18" t="s">
        <v>691</v>
      </c>
      <c r="C21" s="18" t="s">
        <v>636</v>
      </c>
      <c r="D21" s="18" t="s">
        <v>692</v>
      </c>
      <c r="E21" s="20" t="s">
        <v>623</v>
      </c>
      <c r="F21" s="18" t="s">
        <v>693</v>
      </c>
    </row>
    <row r="22" customFormat="false" ht="15" hidden="false" customHeight="false" outlineLevel="0" collapsed="false">
      <c r="A22" s="18" t="s">
        <v>694</v>
      </c>
      <c r="B22" s="18" t="s">
        <v>695</v>
      </c>
      <c r="C22" s="18" t="s">
        <v>621</v>
      </c>
      <c r="D22" s="18" t="s">
        <v>696</v>
      </c>
      <c r="E22" s="21" t="s">
        <v>662</v>
      </c>
      <c r="F22" s="18" t="s">
        <v>697</v>
      </c>
    </row>
    <row r="23" customFormat="false" ht="22.35" hidden="false" customHeight="false" outlineLevel="0" collapsed="false">
      <c r="A23" s="18" t="s">
        <v>698</v>
      </c>
      <c r="B23" s="18" t="s">
        <v>699</v>
      </c>
      <c r="C23" s="18" t="s">
        <v>621</v>
      </c>
      <c r="D23" s="18" t="s">
        <v>700</v>
      </c>
      <c r="E23" s="19" t="s">
        <v>617</v>
      </c>
      <c r="F23" s="18" t="s">
        <v>701</v>
      </c>
    </row>
    <row r="24" customFormat="false" ht="15" hidden="false" customHeight="false" outlineLevel="0" collapsed="false">
      <c r="A24" s="18" t="s">
        <v>702</v>
      </c>
      <c r="B24" s="18" t="s">
        <v>703</v>
      </c>
      <c r="C24" s="18" t="s">
        <v>621</v>
      </c>
      <c r="D24" s="18" t="s">
        <v>704</v>
      </c>
      <c r="E24" s="19" t="s">
        <v>617</v>
      </c>
      <c r="F24" s="18" t="s">
        <v>705</v>
      </c>
    </row>
    <row r="25" customFormat="false" ht="15" hidden="false" customHeight="false" outlineLevel="0" collapsed="false">
      <c r="A25" s="18" t="s">
        <v>706</v>
      </c>
      <c r="B25" s="18" t="s">
        <v>707</v>
      </c>
      <c r="C25" s="18" t="s">
        <v>621</v>
      </c>
      <c r="D25" s="18" t="s">
        <v>708</v>
      </c>
      <c r="E25" s="19" t="s">
        <v>617</v>
      </c>
      <c r="F25" s="18" t="s">
        <v>709</v>
      </c>
    </row>
    <row r="26" customFormat="false" ht="15" hidden="false" customHeight="false" outlineLevel="0" collapsed="false">
      <c r="A26" s="18" t="s">
        <v>710</v>
      </c>
      <c r="B26" s="18" t="s">
        <v>711</v>
      </c>
      <c r="C26" s="18" t="s">
        <v>621</v>
      </c>
      <c r="D26" s="18" t="s">
        <v>712</v>
      </c>
      <c r="E26" s="20" t="s">
        <v>623</v>
      </c>
      <c r="F26" s="18" t="s">
        <v>713</v>
      </c>
    </row>
  </sheetData>
  <autoFilter ref="A4:F2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4"/>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6"/>
    <col collapsed="false" customWidth="true" hidden="false" outlineLevel="0" max="3" min="3" style="0" width="34"/>
    <col collapsed="false" customWidth="true" hidden="false" outlineLevel="0" max="4" min="4" style="0" width="60"/>
    <col collapsed="false" customWidth="true" hidden="false" outlineLevel="0" max="5" min="5" style="0" width="10"/>
    <col collapsed="false" customWidth="true" hidden="false" outlineLevel="0" max="6" min="6" style="0" width="44"/>
    <col collapsed="false" customWidth="true" hidden="false" outlineLevel="0" max="7" min="7" style="0" width="14"/>
    <col collapsed="false" customWidth="true" hidden="false" outlineLevel="0" max="8" min="8" style="0" width="10"/>
  </cols>
  <sheetData>
    <row r="1" customFormat="false" ht="17.35" hidden="false" customHeight="false" outlineLevel="0" collapsed="false">
      <c r="A1" s="1" t="s">
        <v>714</v>
      </c>
    </row>
    <row r="2" customFormat="false" ht="15" hidden="false" customHeight="false" outlineLevel="0" collapsed="false">
      <c r="A2" s="2" t="s">
        <v>715</v>
      </c>
    </row>
    <row r="4" customFormat="false" ht="46.25" hidden="false" customHeight="false" outlineLevel="0" collapsed="false">
      <c r="A4" s="5" t="s">
        <v>716</v>
      </c>
      <c r="B4" s="5" t="s">
        <v>717</v>
      </c>
      <c r="C4" s="5" t="s">
        <v>718</v>
      </c>
      <c r="D4" s="5" t="s">
        <v>719</v>
      </c>
      <c r="E4" s="5" t="s">
        <v>610</v>
      </c>
      <c r="F4" s="5" t="s">
        <v>720</v>
      </c>
      <c r="G4" s="5" t="s">
        <v>721</v>
      </c>
      <c r="H4" s="5" t="s">
        <v>722</v>
      </c>
    </row>
    <row r="5" customFormat="false" ht="15" hidden="false" customHeight="false" outlineLevel="0" collapsed="false">
      <c r="A5" s="18" t="s">
        <v>723</v>
      </c>
      <c r="B5" s="18" t="s">
        <v>724</v>
      </c>
      <c r="C5" s="18" t="s">
        <v>725</v>
      </c>
      <c r="D5" s="18" t="s">
        <v>726</v>
      </c>
      <c r="E5" s="18" t="s">
        <v>727</v>
      </c>
      <c r="F5" s="18" t="s">
        <v>728</v>
      </c>
      <c r="G5" s="18" t="s">
        <v>729</v>
      </c>
      <c r="H5" s="18" t="n">
        <v>28</v>
      </c>
    </row>
    <row r="6" customFormat="false" ht="15" hidden="false" customHeight="false" outlineLevel="0" collapsed="false">
      <c r="A6" s="18" t="s">
        <v>730</v>
      </c>
      <c r="B6" s="18" t="s">
        <v>724</v>
      </c>
      <c r="C6" s="18" t="s">
        <v>731</v>
      </c>
      <c r="D6" s="18" t="s">
        <v>732</v>
      </c>
      <c r="E6" s="18" t="s">
        <v>666</v>
      </c>
      <c r="F6" s="18" t="s">
        <v>733</v>
      </c>
      <c r="G6" s="18" t="s">
        <v>734</v>
      </c>
      <c r="H6" s="18" t="n">
        <v>11</v>
      </c>
    </row>
    <row r="7" customFormat="false" ht="15" hidden="false" customHeight="false" outlineLevel="0" collapsed="false">
      <c r="A7" s="18" t="s">
        <v>735</v>
      </c>
      <c r="B7" s="18" t="s">
        <v>724</v>
      </c>
      <c r="C7" s="18" t="s">
        <v>736</v>
      </c>
      <c r="D7" s="18" t="s">
        <v>737</v>
      </c>
      <c r="E7" s="18" t="s">
        <v>666</v>
      </c>
      <c r="F7" s="18" t="s">
        <v>738</v>
      </c>
      <c r="G7" s="18" t="s">
        <v>734</v>
      </c>
      <c r="H7" s="18" t="n">
        <v>0</v>
      </c>
    </row>
    <row r="8" customFormat="false" ht="22.35" hidden="false" customHeight="false" outlineLevel="0" collapsed="false">
      <c r="A8" s="18" t="s">
        <v>739</v>
      </c>
      <c r="B8" s="18" t="s">
        <v>724</v>
      </c>
      <c r="C8" s="18" t="s">
        <v>740</v>
      </c>
      <c r="D8" s="18" t="s">
        <v>741</v>
      </c>
      <c r="E8" s="18" t="s">
        <v>636</v>
      </c>
      <c r="F8" s="18" t="s">
        <v>738</v>
      </c>
      <c r="G8" s="18" t="s">
        <v>734</v>
      </c>
      <c r="H8" s="18" t="n">
        <v>8</v>
      </c>
    </row>
    <row r="9" customFormat="false" ht="22.35" hidden="false" customHeight="false" outlineLevel="0" collapsed="false">
      <c r="A9" s="18" t="s">
        <v>742</v>
      </c>
      <c r="B9" s="18" t="s">
        <v>724</v>
      </c>
      <c r="C9" s="18" t="s">
        <v>743</v>
      </c>
      <c r="D9" s="18" t="s">
        <v>744</v>
      </c>
      <c r="E9" s="18" t="s">
        <v>678</v>
      </c>
      <c r="F9" s="18" t="s">
        <v>745</v>
      </c>
      <c r="G9" s="18" t="s">
        <v>746</v>
      </c>
      <c r="H9" s="18" t="n">
        <v>9</v>
      </c>
    </row>
    <row r="10" customFormat="false" ht="15" hidden="false" customHeight="false" outlineLevel="0" collapsed="false">
      <c r="A10" s="18" t="s">
        <v>747</v>
      </c>
      <c r="B10" s="18" t="s">
        <v>724</v>
      </c>
      <c r="C10" s="18" t="s">
        <v>748</v>
      </c>
      <c r="D10" s="18" t="s">
        <v>749</v>
      </c>
      <c r="E10" s="18" t="s">
        <v>666</v>
      </c>
      <c r="F10" s="18" t="s">
        <v>738</v>
      </c>
      <c r="G10" s="18" t="s">
        <v>734</v>
      </c>
      <c r="H10" s="18" t="n">
        <v>2</v>
      </c>
    </row>
    <row r="11" customFormat="false" ht="15" hidden="false" customHeight="false" outlineLevel="0" collapsed="false">
      <c r="A11" s="18" t="s">
        <v>750</v>
      </c>
      <c r="B11" s="18" t="s">
        <v>724</v>
      </c>
      <c r="C11" s="18" t="s">
        <v>751</v>
      </c>
      <c r="D11" s="18" t="s">
        <v>752</v>
      </c>
      <c r="E11" s="18" t="s">
        <v>666</v>
      </c>
      <c r="F11" s="18" t="s">
        <v>738</v>
      </c>
      <c r="G11" s="18" t="s">
        <v>734</v>
      </c>
      <c r="H11" s="18" t="n">
        <v>4</v>
      </c>
    </row>
    <row r="12" customFormat="false" ht="22.35" hidden="false" customHeight="false" outlineLevel="0" collapsed="false">
      <c r="A12" s="18" t="s">
        <v>753</v>
      </c>
      <c r="B12" s="18" t="s">
        <v>724</v>
      </c>
      <c r="C12" s="18" t="s">
        <v>754</v>
      </c>
      <c r="D12" s="18" t="s">
        <v>755</v>
      </c>
      <c r="E12" s="18" t="s">
        <v>727</v>
      </c>
      <c r="F12" s="18" t="s">
        <v>728</v>
      </c>
      <c r="G12" s="18" t="s">
        <v>729</v>
      </c>
      <c r="H12" s="18" t="n">
        <v>8</v>
      </c>
    </row>
    <row r="13" customFormat="false" ht="22.35" hidden="false" customHeight="false" outlineLevel="0" collapsed="false">
      <c r="A13" s="18" t="s">
        <v>756</v>
      </c>
      <c r="B13" s="18" t="s">
        <v>757</v>
      </c>
      <c r="C13" s="18" t="s">
        <v>758</v>
      </c>
      <c r="D13" s="18" t="s">
        <v>759</v>
      </c>
      <c r="E13" s="18" t="s">
        <v>760</v>
      </c>
      <c r="F13" s="18" t="s">
        <v>761</v>
      </c>
      <c r="G13" s="18" t="s">
        <v>762</v>
      </c>
      <c r="H13" s="18" t="n">
        <v>4</v>
      </c>
    </row>
    <row r="14" customFormat="false" ht="15" hidden="false" customHeight="false" outlineLevel="0" collapsed="false">
      <c r="A14" s="18" t="s">
        <v>763</v>
      </c>
      <c r="B14" s="18" t="s">
        <v>757</v>
      </c>
      <c r="C14" s="18" t="s">
        <v>764</v>
      </c>
      <c r="D14" s="18" t="s">
        <v>765</v>
      </c>
      <c r="E14" s="18" t="s">
        <v>727</v>
      </c>
      <c r="F14" s="18" t="s">
        <v>728</v>
      </c>
      <c r="G14" s="18" t="s">
        <v>729</v>
      </c>
      <c r="H14" s="18" t="n">
        <v>4</v>
      </c>
    </row>
    <row r="15" customFormat="false" ht="15" hidden="false" customHeight="false" outlineLevel="0" collapsed="false">
      <c r="A15" s="18" t="s">
        <v>766</v>
      </c>
      <c r="B15" s="18" t="s">
        <v>757</v>
      </c>
      <c r="C15" s="18" t="s">
        <v>767</v>
      </c>
      <c r="D15" s="18" t="s">
        <v>768</v>
      </c>
      <c r="E15" s="18" t="s">
        <v>727</v>
      </c>
      <c r="F15" s="18" t="s">
        <v>728</v>
      </c>
      <c r="G15" s="18" t="s">
        <v>729</v>
      </c>
      <c r="H15" s="18" t="n">
        <v>4</v>
      </c>
    </row>
    <row r="16" customFormat="false" ht="22.35" hidden="false" customHeight="false" outlineLevel="0" collapsed="false">
      <c r="A16" s="18" t="s">
        <v>769</v>
      </c>
      <c r="B16" s="18" t="s">
        <v>757</v>
      </c>
      <c r="C16" s="18" t="s">
        <v>770</v>
      </c>
      <c r="D16" s="18" t="s">
        <v>771</v>
      </c>
      <c r="E16" s="18" t="s">
        <v>727</v>
      </c>
      <c r="F16" s="18" t="s">
        <v>728</v>
      </c>
      <c r="G16" s="18" t="s">
        <v>729</v>
      </c>
      <c r="H16" s="18" t="n">
        <v>3</v>
      </c>
    </row>
    <row r="17" customFormat="false" ht="22.35" hidden="false" customHeight="false" outlineLevel="0" collapsed="false">
      <c r="A17" s="18" t="s">
        <v>772</v>
      </c>
      <c r="B17" s="18" t="s">
        <v>757</v>
      </c>
      <c r="C17" s="18" t="s">
        <v>773</v>
      </c>
      <c r="D17" s="18" t="s">
        <v>774</v>
      </c>
      <c r="E17" s="18" t="s">
        <v>727</v>
      </c>
      <c r="F17" s="18" t="s">
        <v>728</v>
      </c>
      <c r="G17" s="18" t="s">
        <v>729</v>
      </c>
      <c r="H17" s="18" t="n">
        <v>1</v>
      </c>
    </row>
    <row r="18" customFormat="false" ht="15" hidden="false" customHeight="false" outlineLevel="0" collapsed="false">
      <c r="A18" s="18" t="s">
        <v>775</v>
      </c>
      <c r="B18" s="18" t="s">
        <v>776</v>
      </c>
      <c r="C18" s="18" t="s">
        <v>777</v>
      </c>
      <c r="D18" s="18" t="s">
        <v>778</v>
      </c>
      <c r="E18" s="18" t="s">
        <v>727</v>
      </c>
      <c r="F18" s="18" t="s">
        <v>779</v>
      </c>
      <c r="G18" s="18" t="s">
        <v>734</v>
      </c>
      <c r="H18" s="18" t="n">
        <v>5</v>
      </c>
    </row>
    <row r="19" customFormat="false" ht="15" hidden="false" customHeight="false" outlineLevel="0" collapsed="false">
      <c r="A19" s="18" t="s">
        <v>780</v>
      </c>
      <c r="B19" s="18" t="s">
        <v>776</v>
      </c>
      <c r="C19" s="18" t="s">
        <v>781</v>
      </c>
      <c r="D19" s="18" t="s">
        <v>782</v>
      </c>
      <c r="E19" s="18" t="s">
        <v>666</v>
      </c>
      <c r="F19" s="18" t="s">
        <v>738</v>
      </c>
      <c r="G19" s="18" t="s">
        <v>734</v>
      </c>
      <c r="H19" s="18" t="n">
        <v>1</v>
      </c>
    </row>
    <row r="20" customFormat="false" ht="15" hidden="false" customHeight="false" outlineLevel="0" collapsed="false">
      <c r="A20" s="18" t="s">
        <v>783</v>
      </c>
      <c r="B20" s="18" t="s">
        <v>776</v>
      </c>
      <c r="C20" s="18" t="s">
        <v>784</v>
      </c>
      <c r="D20" s="18" t="s">
        <v>785</v>
      </c>
      <c r="E20" s="18" t="s">
        <v>627</v>
      </c>
      <c r="F20" s="18" t="s">
        <v>738</v>
      </c>
      <c r="G20" s="18" t="s">
        <v>734</v>
      </c>
      <c r="H20" s="18" t="n">
        <v>2</v>
      </c>
    </row>
    <row r="21" customFormat="false" ht="15" hidden="false" customHeight="false" outlineLevel="0" collapsed="false">
      <c r="A21" s="18" t="s">
        <v>786</v>
      </c>
      <c r="B21" s="18" t="s">
        <v>776</v>
      </c>
      <c r="C21" s="18" t="s">
        <v>787</v>
      </c>
      <c r="D21" s="18" t="s">
        <v>788</v>
      </c>
      <c r="E21" s="18" t="s">
        <v>615</v>
      </c>
      <c r="F21" s="18" t="s">
        <v>738</v>
      </c>
      <c r="G21" s="18" t="s">
        <v>734</v>
      </c>
      <c r="H21" s="18" t="n">
        <v>1</v>
      </c>
    </row>
    <row r="22" customFormat="false" ht="15" hidden="false" customHeight="false" outlineLevel="0" collapsed="false">
      <c r="A22" s="18" t="s">
        <v>789</v>
      </c>
      <c r="B22" s="18" t="s">
        <v>790</v>
      </c>
      <c r="C22" s="18" t="s">
        <v>791</v>
      </c>
      <c r="D22" s="18" t="s">
        <v>792</v>
      </c>
      <c r="E22" s="18" t="s">
        <v>793</v>
      </c>
      <c r="F22" s="18" t="s">
        <v>738</v>
      </c>
      <c r="G22" s="18" t="s">
        <v>734</v>
      </c>
      <c r="H22" s="18" t="n">
        <v>3</v>
      </c>
    </row>
    <row r="23" customFormat="false" ht="15" hidden="false" customHeight="false" outlineLevel="0" collapsed="false">
      <c r="A23" s="18" t="s">
        <v>794</v>
      </c>
      <c r="B23" s="18" t="s">
        <v>790</v>
      </c>
      <c r="C23" s="18" t="s">
        <v>795</v>
      </c>
      <c r="D23" s="18" t="s">
        <v>796</v>
      </c>
      <c r="E23" s="18" t="s">
        <v>727</v>
      </c>
      <c r="F23" s="18" t="s">
        <v>797</v>
      </c>
      <c r="G23" s="18" t="s">
        <v>729</v>
      </c>
      <c r="H23" s="18" t="n">
        <v>3</v>
      </c>
    </row>
    <row r="24" customFormat="false" ht="15" hidden="false" customHeight="false" outlineLevel="0" collapsed="false">
      <c r="A24" s="18" t="s">
        <v>798</v>
      </c>
      <c r="B24" s="18" t="s">
        <v>790</v>
      </c>
      <c r="C24" s="18" t="s">
        <v>799</v>
      </c>
      <c r="D24" s="18" t="s">
        <v>800</v>
      </c>
      <c r="E24" s="18" t="s">
        <v>727</v>
      </c>
      <c r="F24" s="18" t="s">
        <v>801</v>
      </c>
      <c r="G24" s="18" t="s">
        <v>734</v>
      </c>
      <c r="H24" s="18" t="n">
        <v>1</v>
      </c>
    </row>
  </sheetData>
  <autoFilter ref="A4:H2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4"/>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48"/>
    <col collapsed="false" customWidth="true" hidden="false" outlineLevel="0" max="3" min="3" style="0" width="32"/>
    <col collapsed="false" customWidth="true" hidden="false" outlineLevel="0" max="4" min="4" style="0" width="36"/>
    <col collapsed="false" customWidth="true" hidden="false" outlineLevel="0" max="5" min="5" style="0" width="60"/>
    <col collapsed="false" customWidth="true" hidden="false" outlineLevel="0" max="6" min="6" style="0" width="48"/>
    <col collapsed="false" customWidth="true" hidden="false" outlineLevel="0" max="7" min="7" style="0" width="11"/>
  </cols>
  <sheetData>
    <row r="1" customFormat="false" ht="17.35" hidden="false" customHeight="false" outlineLevel="0" collapsed="false">
      <c r="A1" s="1" t="s">
        <v>802</v>
      </c>
    </row>
    <row r="2" customFormat="false" ht="15" hidden="false" customHeight="false" outlineLevel="0" collapsed="false">
      <c r="A2" s="2" t="s">
        <v>803</v>
      </c>
    </row>
    <row r="4" customFormat="false" ht="57.45" hidden="false" customHeight="false" outlineLevel="0" collapsed="false">
      <c r="A4" s="5" t="s">
        <v>804</v>
      </c>
      <c r="B4" s="5" t="s">
        <v>805</v>
      </c>
      <c r="C4" s="5" t="s">
        <v>806</v>
      </c>
      <c r="D4" s="5" t="s">
        <v>807</v>
      </c>
      <c r="E4" s="5" t="s">
        <v>808</v>
      </c>
      <c r="F4" s="5" t="s">
        <v>809</v>
      </c>
      <c r="G4" s="5" t="s">
        <v>810</v>
      </c>
    </row>
    <row r="5" customFormat="false" ht="90" hidden="false" customHeight="true" outlineLevel="0" collapsed="false">
      <c r="A5" s="18" t="s">
        <v>811</v>
      </c>
      <c r="B5" s="18" t="s">
        <v>812</v>
      </c>
      <c r="C5" s="18" t="s">
        <v>813</v>
      </c>
      <c r="D5" s="18" t="s">
        <v>814</v>
      </c>
      <c r="E5" s="18" t="s">
        <v>815</v>
      </c>
      <c r="F5" s="18" t="s">
        <v>816</v>
      </c>
      <c r="G5" s="18" t="n">
        <v>20</v>
      </c>
    </row>
    <row r="6" customFormat="false" ht="90" hidden="false" customHeight="true" outlineLevel="0" collapsed="false">
      <c r="A6" s="18" t="s">
        <v>817</v>
      </c>
      <c r="B6" s="18" t="s">
        <v>818</v>
      </c>
      <c r="C6" s="18" t="s">
        <v>819</v>
      </c>
      <c r="D6" s="18" t="s">
        <v>820</v>
      </c>
      <c r="E6" s="18" t="s">
        <v>821</v>
      </c>
      <c r="F6" s="18" t="s">
        <v>822</v>
      </c>
      <c r="G6" s="18" t="n">
        <v>8</v>
      </c>
    </row>
    <row r="7" customFormat="false" ht="90" hidden="false" customHeight="true" outlineLevel="0" collapsed="false">
      <c r="A7" s="18" t="s">
        <v>823</v>
      </c>
      <c r="B7" s="18" t="s">
        <v>824</v>
      </c>
      <c r="C7" s="18" t="s">
        <v>825</v>
      </c>
      <c r="D7" s="18" t="s">
        <v>826</v>
      </c>
      <c r="E7" s="18" t="s">
        <v>827</v>
      </c>
      <c r="F7" s="18" t="s">
        <v>828</v>
      </c>
      <c r="G7" s="18" t="n">
        <v>15</v>
      </c>
    </row>
    <row r="8" customFormat="false" ht="90" hidden="false" customHeight="true" outlineLevel="0" collapsed="false">
      <c r="A8" s="18" t="s">
        <v>829</v>
      </c>
      <c r="B8" s="18" t="s">
        <v>830</v>
      </c>
      <c r="C8" s="18" t="s">
        <v>831</v>
      </c>
      <c r="D8" s="18" t="s">
        <v>832</v>
      </c>
      <c r="E8" s="18" t="s">
        <v>833</v>
      </c>
      <c r="F8" s="18" t="s">
        <v>834</v>
      </c>
      <c r="G8" s="18" t="n">
        <v>12</v>
      </c>
    </row>
    <row r="9" customFormat="false" ht="90" hidden="false" customHeight="true" outlineLevel="0" collapsed="false">
      <c r="A9" s="18" t="s">
        <v>835</v>
      </c>
      <c r="B9" s="18" t="s">
        <v>836</v>
      </c>
      <c r="C9" s="18" t="s">
        <v>837</v>
      </c>
      <c r="D9" s="18" t="s">
        <v>838</v>
      </c>
      <c r="E9" s="18" t="s">
        <v>839</v>
      </c>
      <c r="F9" s="18" t="s">
        <v>840</v>
      </c>
      <c r="G9" s="18" t="n">
        <v>22</v>
      </c>
    </row>
    <row r="10" customFormat="false" ht="90" hidden="false" customHeight="true" outlineLevel="0" collapsed="false">
      <c r="A10" s="18" t="s">
        <v>841</v>
      </c>
      <c r="B10" s="18" t="s">
        <v>842</v>
      </c>
      <c r="C10" s="18" t="s">
        <v>843</v>
      </c>
      <c r="D10" s="18" t="s">
        <v>844</v>
      </c>
      <c r="E10" s="18" t="s">
        <v>845</v>
      </c>
      <c r="F10" s="18" t="s">
        <v>846</v>
      </c>
      <c r="G10" s="18" t="n">
        <v>9</v>
      </c>
    </row>
    <row r="11" customFormat="false" ht="90" hidden="false" customHeight="true" outlineLevel="0" collapsed="false">
      <c r="A11" s="18" t="s">
        <v>847</v>
      </c>
      <c r="B11" s="18" t="s">
        <v>848</v>
      </c>
      <c r="C11" s="18" t="s">
        <v>849</v>
      </c>
      <c r="D11" s="18" t="s">
        <v>850</v>
      </c>
      <c r="E11" s="18" t="s">
        <v>851</v>
      </c>
      <c r="F11" s="18" t="s">
        <v>852</v>
      </c>
      <c r="G11" s="18" t="n">
        <v>9</v>
      </c>
    </row>
    <row r="12" customFormat="false" ht="90" hidden="false" customHeight="true" outlineLevel="0" collapsed="false">
      <c r="A12" s="18" t="s">
        <v>853</v>
      </c>
      <c r="B12" s="18" t="s">
        <v>854</v>
      </c>
      <c r="C12" s="18" t="s">
        <v>855</v>
      </c>
      <c r="D12" s="18" t="s">
        <v>856</v>
      </c>
      <c r="E12" s="18" t="s">
        <v>857</v>
      </c>
      <c r="F12" s="18" t="s">
        <v>858</v>
      </c>
      <c r="G12" s="18" t="n">
        <v>11</v>
      </c>
    </row>
    <row r="13" customFormat="false" ht="90" hidden="false" customHeight="true" outlineLevel="0" collapsed="false">
      <c r="A13" s="18" t="s">
        <v>859</v>
      </c>
      <c r="B13" s="18" t="s">
        <v>860</v>
      </c>
      <c r="C13" s="18" t="s">
        <v>861</v>
      </c>
      <c r="D13" s="18" t="s">
        <v>862</v>
      </c>
      <c r="E13" s="18" t="s">
        <v>863</v>
      </c>
      <c r="F13" s="18" t="s">
        <v>864</v>
      </c>
      <c r="G13" s="18" t="n">
        <v>11</v>
      </c>
    </row>
    <row r="14" customFormat="false" ht="90" hidden="false" customHeight="true" outlineLevel="0" collapsed="false">
      <c r="A14" s="18" t="s">
        <v>865</v>
      </c>
      <c r="B14" s="18" t="s">
        <v>866</v>
      </c>
      <c r="C14" s="18" t="s">
        <v>867</v>
      </c>
      <c r="D14" s="18" t="s">
        <v>868</v>
      </c>
      <c r="E14" s="18" t="s">
        <v>869</v>
      </c>
      <c r="F14" s="18" t="s">
        <v>870</v>
      </c>
      <c r="G14" s="18" t="n">
        <v>4</v>
      </c>
    </row>
  </sheetData>
  <autoFilter ref="A4:G1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5"/>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32"/>
    <col collapsed="false" customWidth="true" hidden="false" outlineLevel="0" max="3" min="3" style="0" width="34"/>
    <col collapsed="false" customWidth="true" hidden="false" outlineLevel="0" max="4" min="4" style="0" width="50"/>
    <col collapsed="false" customWidth="true" hidden="false" outlineLevel="0" max="5" min="5" style="0" width="44"/>
    <col collapsed="false" customWidth="true" hidden="false" outlineLevel="0" max="6" min="6" style="0" width="18"/>
    <col collapsed="false" customWidth="true" hidden="false" outlineLevel="0" max="7" min="7" style="0" width="11"/>
  </cols>
  <sheetData>
    <row r="1" customFormat="false" ht="17.35" hidden="false" customHeight="false" outlineLevel="0" collapsed="false">
      <c r="A1" s="1" t="s">
        <v>871</v>
      </c>
    </row>
    <row r="2" customFormat="false" ht="15" hidden="false" customHeight="false" outlineLevel="0" collapsed="false">
      <c r="A2" s="2" t="s">
        <v>872</v>
      </c>
    </row>
    <row r="4" customFormat="false" ht="46.25" hidden="false" customHeight="false" outlineLevel="0" collapsed="false">
      <c r="A4" s="5" t="s">
        <v>873</v>
      </c>
      <c r="B4" s="5" t="s">
        <v>874</v>
      </c>
      <c r="C4" s="5" t="s">
        <v>875</v>
      </c>
      <c r="D4" s="5" t="s">
        <v>876</v>
      </c>
      <c r="E4" s="5" t="s">
        <v>877</v>
      </c>
      <c r="F4" s="5" t="s">
        <v>878</v>
      </c>
      <c r="G4" s="5" t="s">
        <v>879</v>
      </c>
    </row>
    <row r="5" customFormat="false" ht="15" hidden="false" customHeight="false" outlineLevel="0" collapsed="false">
      <c r="A5" s="18" t="s">
        <v>880</v>
      </c>
      <c r="B5" s="18" t="s">
        <v>881</v>
      </c>
      <c r="C5" s="18" t="s">
        <v>882</v>
      </c>
      <c r="D5" s="18" t="s">
        <v>883</v>
      </c>
      <c r="E5" s="18" t="s">
        <v>884</v>
      </c>
      <c r="F5" s="18" t="s">
        <v>885</v>
      </c>
      <c r="G5" s="18" t="n">
        <v>14</v>
      </c>
    </row>
    <row r="6" customFormat="false" ht="15" hidden="false" customHeight="false" outlineLevel="0" collapsed="false">
      <c r="A6" s="18" t="s">
        <v>886</v>
      </c>
      <c r="B6" s="18" t="s">
        <v>887</v>
      </c>
      <c r="C6" s="18" t="s">
        <v>882</v>
      </c>
      <c r="D6" s="18" t="s">
        <v>888</v>
      </c>
      <c r="E6" s="18" t="s">
        <v>889</v>
      </c>
      <c r="F6" s="18" t="s">
        <v>890</v>
      </c>
      <c r="G6" s="18" t="n">
        <v>6</v>
      </c>
    </row>
    <row r="7" customFormat="false" ht="22.35" hidden="false" customHeight="false" outlineLevel="0" collapsed="false">
      <c r="A7" s="18" t="s">
        <v>463</v>
      </c>
      <c r="B7" s="18" t="s">
        <v>891</v>
      </c>
      <c r="C7" s="18" t="s">
        <v>892</v>
      </c>
      <c r="D7" s="18" t="s">
        <v>893</v>
      </c>
      <c r="E7" s="18" t="s">
        <v>894</v>
      </c>
      <c r="F7" s="18" t="s">
        <v>885</v>
      </c>
      <c r="G7" s="18" t="n">
        <v>5</v>
      </c>
    </row>
    <row r="8" customFormat="false" ht="15" hidden="false" customHeight="false" outlineLevel="0" collapsed="false">
      <c r="A8" s="18" t="s">
        <v>895</v>
      </c>
      <c r="B8" s="18" t="s">
        <v>896</v>
      </c>
      <c r="C8" s="18" t="s">
        <v>897</v>
      </c>
      <c r="D8" s="18" t="s">
        <v>898</v>
      </c>
      <c r="E8" s="18" t="s">
        <v>899</v>
      </c>
      <c r="F8" s="18" t="s">
        <v>885</v>
      </c>
      <c r="G8" s="18" t="n">
        <v>14</v>
      </c>
    </row>
    <row r="9" customFormat="false" ht="15" hidden="false" customHeight="false" outlineLevel="0" collapsed="false">
      <c r="A9" s="18" t="s">
        <v>474</v>
      </c>
      <c r="B9" s="18" t="s">
        <v>900</v>
      </c>
      <c r="C9" s="18" t="s">
        <v>901</v>
      </c>
      <c r="D9" s="18" t="s">
        <v>902</v>
      </c>
      <c r="E9" s="18" t="s">
        <v>903</v>
      </c>
      <c r="F9" s="18" t="s">
        <v>885</v>
      </c>
      <c r="G9" s="18" t="n">
        <v>19</v>
      </c>
    </row>
    <row r="10" customFormat="false" ht="15" hidden="false" customHeight="false" outlineLevel="0" collapsed="false">
      <c r="A10" s="18" t="s">
        <v>272</v>
      </c>
      <c r="B10" s="18" t="s">
        <v>904</v>
      </c>
      <c r="C10" s="18" t="s">
        <v>905</v>
      </c>
      <c r="D10" s="18" t="s">
        <v>906</v>
      </c>
      <c r="E10" s="18" t="s">
        <v>907</v>
      </c>
      <c r="F10" s="18" t="s">
        <v>885</v>
      </c>
      <c r="G10" s="18" t="n">
        <v>16</v>
      </c>
    </row>
    <row r="11" customFormat="false" ht="15" hidden="false" customHeight="false" outlineLevel="0" collapsed="false">
      <c r="A11" s="18" t="s">
        <v>908</v>
      </c>
      <c r="B11" s="18" t="s">
        <v>909</v>
      </c>
      <c r="C11" s="18" t="s">
        <v>910</v>
      </c>
      <c r="D11" s="18" t="s">
        <v>911</v>
      </c>
      <c r="E11" s="18" t="s">
        <v>912</v>
      </c>
      <c r="F11" s="18" t="s">
        <v>885</v>
      </c>
      <c r="G11" s="18" t="n">
        <v>0</v>
      </c>
    </row>
    <row r="12" customFormat="false" ht="15" hidden="false" customHeight="false" outlineLevel="0" collapsed="false">
      <c r="A12" s="18" t="s">
        <v>913</v>
      </c>
      <c r="B12" s="18" t="s">
        <v>914</v>
      </c>
      <c r="C12" s="18" t="s">
        <v>915</v>
      </c>
      <c r="D12" s="18" t="s">
        <v>916</v>
      </c>
      <c r="E12" s="18" t="s">
        <v>917</v>
      </c>
      <c r="F12" s="18" t="s">
        <v>885</v>
      </c>
      <c r="G12" s="18" t="n">
        <v>2</v>
      </c>
    </row>
    <row r="13" customFormat="false" ht="22.35" hidden="false" customHeight="false" outlineLevel="0" collapsed="false">
      <c r="A13" s="18" t="s">
        <v>918</v>
      </c>
      <c r="B13" s="18" t="s">
        <v>919</v>
      </c>
      <c r="C13" s="18" t="s">
        <v>920</v>
      </c>
      <c r="D13" s="18" t="s">
        <v>921</v>
      </c>
      <c r="E13" s="18" t="s">
        <v>922</v>
      </c>
      <c r="F13" s="18" t="s">
        <v>885</v>
      </c>
      <c r="G13" s="18" t="n">
        <v>3</v>
      </c>
    </row>
    <row r="14" customFormat="false" ht="15" hidden="false" customHeight="false" outlineLevel="0" collapsed="false">
      <c r="A14" s="18" t="s">
        <v>923</v>
      </c>
      <c r="B14" s="18" t="s">
        <v>924</v>
      </c>
      <c r="C14" s="18" t="s">
        <v>925</v>
      </c>
      <c r="D14" s="18" t="s">
        <v>926</v>
      </c>
      <c r="E14" s="18" t="s">
        <v>927</v>
      </c>
      <c r="F14" s="18" t="s">
        <v>885</v>
      </c>
      <c r="G14" s="18" t="n">
        <v>5</v>
      </c>
    </row>
    <row r="15" customFormat="false" ht="15" hidden="false" customHeight="false" outlineLevel="0" collapsed="false">
      <c r="A15" s="18" t="s">
        <v>928</v>
      </c>
      <c r="B15" s="18" t="s">
        <v>929</v>
      </c>
      <c r="C15" s="18" t="s">
        <v>930</v>
      </c>
      <c r="D15" s="18" t="s">
        <v>931</v>
      </c>
      <c r="E15" s="18" t="s">
        <v>932</v>
      </c>
      <c r="F15" s="18" t="s">
        <v>885</v>
      </c>
      <c r="G15" s="18" t="n">
        <v>5</v>
      </c>
    </row>
  </sheetData>
  <autoFilter ref="A4:G1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65"/>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22"/>
    <col collapsed="false" customWidth="true" hidden="false" outlineLevel="0" max="3" min="3" style="0" width="18"/>
    <col collapsed="false" customWidth="true" hidden="false" outlineLevel="0" max="4" min="4" style="0" width="26"/>
    <col collapsed="false" customWidth="true" hidden="false" outlineLevel="0" max="5" min="5" style="0" width="20"/>
    <col collapsed="false" customWidth="true" hidden="false" outlineLevel="0" max="6" min="6" style="0" width="26"/>
    <col collapsed="false" customWidth="true" hidden="false" outlineLevel="0" max="7" min="7" style="0" width="50"/>
    <col collapsed="false" customWidth="true" hidden="false" outlineLevel="0" max="8" min="8" style="0" width="8"/>
    <col collapsed="false" customWidth="true" hidden="false" outlineLevel="0" max="11" min="9" style="0" width="5"/>
    <col collapsed="false" customWidth="true" hidden="false" outlineLevel="0" max="12" min="12" style="0" width="60"/>
    <col collapsed="false" customWidth="true" hidden="false" outlineLevel="0" max="13" min="13" style="0" width="10"/>
  </cols>
  <sheetData>
    <row r="1" customFormat="false" ht="17.35" hidden="false" customHeight="false" outlineLevel="0" collapsed="false">
      <c r="A1" s="1" t="s">
        <v>933</v>
      </c>
    </row>
    <row r="2" customFormat="false" ht="15" hidden="false" customHeight="false" outlineLevel="0" collapsed="false">
      <c r="A2" s="2" t="s">
        <v>934</v>
      </c>
    </row>
    <row r="4" customFormat="false" ht="35.05" hidden="false" customHeight="false" outlineLevel="0" collapsed="false">
      <c r="A4" s="5" t="s">
        <v>935</v>
      </c>
      <c r="B4" s="5" t="s">
        <v>936</v>
      </c>
      <c r="C4" s="5" t="s">
        <v>937</v>
      </c>
      <c r="D4" s="5" t="s">
        <v>938</v>
      </c>
      <c r="E4" s="5" t="s">
        <v>939</v>
      </c>
      <c r="F4" s="5" t="s">
        <v>940</v>
      </c>
      <c r="G4" s="5" t="s">
        <v>941</v>
      </c>
      <c r="H4" s="5" t="s">
        <v>942</v>
      </c>
      <c r="I4" s="5" t="s">
        <v>598</v>
      </c>
      <c r="J4" s="5" t="s">
        <v>586</v>
      </c>
      <c r="K4" s="5" t="s">
        <v>578</v>
      </c>
      <c r="L4" s="5" t="s">
        <v>943</v>
      </c>
      <c r="M4" s="5" t="s">
        <v>944</v>
      </c>
    </row>
    <row r="5" customFormat="false" ht="22.35" hidden="false" customHeight="false" outlineLevel="0" collapsed="false">
      <c r="A5" s="18" t="s">
        <v>945</v>
      </c>
      <c r="B5" s="18" t="s">
        <v>946</v>
      </c>
      <c r="C5" s="18" t="s">
        <v>947</v>
      </c>
      <c r="D5" s="18" t="s">
        <v>948</v>
      </c>
      <c r="E5" s="18" t="s">
        <v>949</v>
      </c>
      <c r="F5" s="18" t="s">
        <v>950</v>
      </c>
      <c r="G5" s="18" t="s">
        <v>951</v>
      </c>
      <c r="H5" s="18" t="s">
        <v>952</v>
      </c>
      <c r="I5" s="18" t="s">
        <v>953</v>
      </c>
      <c r="J5" s="18" t="s">
        <v>954</v>
      </c>
      <c r="K5" s="18" t="s">
        <v>955</v>
      </c>
      <c r="L5" s="18" t="s">
        <v>956</v>
      </c>
      <c r="M5" s="18" t="n">
        <f aca="false">IF(L5="",0,LEN(L5)-LEN(SUBSTITUTE(L5,",",""))+1)</f>
        <v>10</v>
      </c>
    </row>
    <row r="6" customFormat="false" ht="22.35" hidden="false" customHeight="false" outlineLevel="0" collapsed="false">
      <c r="A6" s="18" t="s">
        <v>957</v>
      </c>
      <c r="B6" s="18" t="s">
        <v>946</v>
      </c>
      <c r="C6" s="18" t="s">
        <v>947</v>
      </c>
      <c r="D6" s="18" t="s">
        <v>948</v>
      </c>
      <c r="E6" s="18" t="s">
        <v>958</v>
      </c>
      <c r="F6" s="18" t="s">
        <v>959</v>
      </c>
      <c r="G6" s="18" t="s">
        <v>960</v>
      </c>
      <c r="H6" s="18" t="s">
        <v>961</v>
      </c>
      <c r="I6" s="18" t="s">
        <v>962</v>
      </c>
      <c r="J6" s="18" t="s">
        <v>954</v>
      </c>
      <c r="K6" s="18" t="s">
        <v>963</v>
      </c>
      <c r="L6" s="18" t="s">
        <v>956</v>
      </c>
      <c r="M6" s="18" t="n">
        <f aca="false">IF(L6="",0,LEN(L6)-LEN(SUBSTITUTE(L6,",",""))+1)</f>
        <v>10</v>
      </c>
    </row>
    <row r="7" customFormat="false" ht="22.35" hidden="false" customHeight="false" outlineLevel="0" collapsed="false">
      <c r="A7" s="18" t="s">
        <v>964</v>
      </c>
      <c r="B7" s="18" t="s">
        <v>946</v>
      </c>
      <c r="C7" s="18" t="s">
        <v>947</v>
      </c>
      <c r="D7" s="18" t="s">
        <v>948</v>
      </c>
      <c r="E7" s="18" t="s">
        <v>965</v>
      </c>
      <c r="F7" s="18" t="s">
        <v>966</v>
      </c>
      <c r="G7" s="18" t="s">
        <v>967</v>
      </c>
      <c r="H7" s="18" t="s">
        <v>961</v>
      </c>
      <c r="I7" s="18" t="s">
        <v>962</v>
      </c>
      <c r="J7" s="18" t="s">
        <v>968</v>
      </c>
      <c r="K7" s="18" t="s">
        <v>963</v>
      </c>
      <c r="L7" s="18" t="s">
        <v>956</v>
      </c>
      <c r="M7" s="18" t="n">
        <f aca="false">IF(L7="",0,LEN(L7)-LEN(SUBSTITUTE(L7,",",""))+1)</f>
        <v>10</v>
      </c>
    </row>
    <row r="8" customFormat="false" ht="22.35" hidden="false" customHeight="false" outlineLevel="0" collapsed="false">
      <c r="A8" s="18" t="s">
        <v>969</v>
      </c>
      <c r="B8" s="18" t="s">
        <v>946</v>
      </c>
      <c r="C8" s="18" t="s">
        <v>947</v>
      </c>
      <c r="D8" s="18" t="s">
        <v>970</v>
      </c>
      <c r="E8" s="18" t="s">
        <v>949</v>
      </c>
      <c r="F8" s="18" t="s">
        <v>950</v>
      </c>
      <c r="G8" s="18" t="s">
        <v>971</v>
      </c>
      <c r="H8" s="18" t="s">
        <v>972</v>
      </c>
      <c r="I8" s="18" t="s">
        <v>953</v>
      </c>
      <c r="J8" s="18" t="s">
        <v>954</v>
      </c>
      <c r="K8" s="18" t="s">
        <v>955</v>
      </c>
      <c r="L8" s="18" t="s">
        <v>973</v>
      </c>
      <c r="M8" s="18" t="n">
        <f aca="false">IF(L8="",0,LEN(L8)-LEN(SUBSTITUTE(L8,",",""))+1)</f>
        <v>4</v>
      </c>
    </row>
    <row r="9" customFormat="false" ht="22.35" hidden="false" customHeight="false" outlineLevel="0" collapsed="false">
      <c r="A9" s="18" t="s">
        <v>974</v>
      </c>
      <c r="B9" s="18" t="s">
        <v>946</v>
      </c>
      <c r="C9" s="18" t="s">
        <v>947</v>
      </c>
      <c r="D9" s="18" t="s">
        <v>970</v>
      </c>
      <c r="E9" s="18" t="s">
        <v>958</v>
      </c>
      <c r="F9" s="18" t="s">
        <v>959</v>
      </c>
      <c r="G9" s="18" t="s">
        <v>975</v>
      </c>
      <c r="H9" s="18" t="s">
        <v>961</v>
      </c>
      <c r="I9" s="18" t="s">
        <v>962</v>
      </c>
      <c r="J9" s="18" t="s">
        <v>954</v>
      </c>
      <c r="K9" s="18" t="s">
        <v>963</v>
      </c>
      <c r="L9" s="18" t="s">
        <v>973</v>
      </c>
      <c r="M9" s="18" t="n">
        <f aca="false">IF(L9="",0,LEN(L9)-LEN(SUBSTITUTE(L9,",",""))+1)</f>
        <v>4</v>
      </c>
    </row>
    <row r="10" customFormat="false" ht="22.35" hidden="false" customHeight="false" outlineLevel="0" collapsed="false">
      <c r="A10" s="18" t="s">
        <v>976</v>
      </c>
      <c r="B10" s="18" t="s">
        <v>946</v>
      </c>
      <c r="C10" s="18" t="s">
        <v>947</v>
      </c>
      <c r="D10" s="18" t="s">
        <v>970</v>
      </c>
      <c r="E10" s="18" t="s">
        <v>977</v>
      </c>
      <c r="F10" s="18" t="s">
        <v>978</v>
      </c>
      <c r="G10" s="18" t="s">
        <v>979</v>
      </c>
      <c r="H10" s="18" t="s">
        <v>952</v>
      </c>
      <c r="I10" s="18" t="s">
        <v>962</v>
      </c>
      <c r="J10" s="18" t="s">
        <v>980</v>
      </c>
      <c r="K10" s="18" t="s">
        <v>955</v>
      </c>
      <c r="L10" s="18" t="s">
        <v>973</v>
      </c>
      <c r="M10" s="18" t="n">
        <f aca="false">IF(L10="",0,LEN(L10)-LEN(SUBSTITUTE(L10,",",""))+1)</f>
        <v>4</v>
      </c>
    </row>
    <row r="11" customFormat="false" ht="22.35" hidden="false" customHeight="false" outlineLevel="0" collapsed="false">
      <c r="A11" s="18" t="s">
        <v>981</v>
      </c>
      <c r="B11" s="18" t="s">
        <v>946</v>
      </c>
      <c r="C11" s="18" t="s">
        <v>947</v>
      </c>
      <c r="D11" s="18" t="s">
        <v>970</v>
      </c>
      <c r="E11" s="18" t="s">
        <v>965</v>
      </c>
      <c r="F11" s="18" t="s">
        <v>966</v>
      </c>
      <c r="G11" s="18" t="s">
        <v>982</v>
      </c>
      <c r="H11" s="18" t="s">
        <v>961</v>
      </c>
      <c r="I11" s="18" t="s">
        <v>962</v>
      </c>
      <c r="J11" s="18" t="s">
        <v>968</v>
      </c>
      <c r="K11" s="18" t="s">
        <v>963</v>
      </c>
      <c r="L11" s="18" t="s">
        <v>973</v>
      </c>
      <c r="M11" s="18" t="n">
        <f aca="false">IF(L11="",0,LEN(L11)-LEN(SUBSTITUTE(L11,",",""))+1)</f>
        <v>4</v>
      </c>
    </row>
    <row r="12" customFormat="false" ht="22.35" hidden="false" customHeight="false" outlineLevel="0" collapsed="false">
      <c r="A12" s="18" t="s">
        <v>983</v>
      </c>
      <c r="B12" s="18" t="s">
        <v>946</v>
      </c>
      <c r="C12" s="18" t="s">
        <v>947</v>
      </c>
      <c r="D12" s="18" t="s">
        <v>984</v>
      </c>
      <c r="E12" s="18" t="s">
        <v>958</v>
      </c>
      <c r="F12" s="18" t="s">
        <v>959</v>
      </c>
      <c r="G12" s="18" t="s">
        <v>985</v>
      </c>
      <c r="H12" s="18" t="s">
        <v>986</v>
      </c>
      <c r="I12" s="18" t="s">
        <v>962</v>
      </c>
      <c r="J12" s="18" t="s">
        <v>954</v>
      </c>
      <c r="K12" s="18" t="s">
        <v>963</v>
      </c>
      <c r="L12" s="18" t="s">
        <v>987</v>
      </c>
      <c r="M12" s="18" t="n">
        <f aca="false">IF(L12="",0,LEN(L12)-LEN(SUBSTITUTE(L12,",",""))+1)</f>
        <v>3</v>
      </c>
    </row>
    <row r="13" customFormat="false" ht="22.35" hidden="false" customHeight="false" outlineLevel="0" collapsed="false">
      <c r="A13" s="18" t="s">
        <v>988</v>
      </c>
      <c r="B13" s="18" t="s">
        <v>946</v>
      </c>
      <c r="C13" s="18" t="s">
        <v>947</v>
      </c>
      <c r="D13" s="18" t="s">
        <v>984</v>
      </c>
      <c r="E13" s="18" t="s">
        <v>977</v>
      </c>
      <c r="F13" s="18" t="s">
        <v>978</v>
      </c>
      <c r="G13" s="18" t="s">
        <v>989</v>
      </c>
      <c r="H13" s="18" t="s">
        <v>986</v>
      </c>
      <c r="I13" s="18" t="s">
        <v>962</v>
      </c>
      <c r="J13" s="18" t="s">
        <v>980</v>
      </c>
      <c r="K13" s="18" t="s">
        <v>955</v>
      </c>
      <c r="L13" s="18" t="s">
        <v>987</v>
      </c>
      <c r="M13" s="18" t="n">
        <f aca="false">IF(L13="",0,LEN(L13)-LEN(SUBSTITUTE(L13,",",""))+1)</f>
        <v>3</v>
      </c>
    </row>
    <row r="14" customFormat="false" ht="22.35" hidden="false" customHeight="false" outlineLevel="0" collapsed="false">
      <c r="A14" s="18" t="s">
        <v>990</v>
      </c>
      <c r="B14" s="18" t="s">
        <v>946</v>
      </c>
      <c r="C14" s="18" t="s">
        <v>947</v>
      </c>
      <c r="D14" s="18" t="s">
        <v>984</v>
      </c>
      <c r="E14" s="18" t="s">
        <v>965</v>
      </c>
      <c r="F14" s="18" t="s">
        <v>966</v>
      </c>
      <c r="G14" s="18" t="s">
        <v>991</v>
      </c>
      <c r="H14" s="18" t="s">
        <v>986</v>
      </c>
      <c r="I14" s="18" t="s">
        <v>962</v>
      </c>
      <c r="J14" s="18" t="s">
        <v>968</v>
      </c>
      <c r="K14" s="18" t="s">
        <v>963</v>
      </c>
      <c r="L14" s="18" t="s">
        <v>987</v>
      </c>
      <c r="M14" s="18" t="n">
        <f aca="false">IF(L14="",0,LEN(L14)-LEN(SUBSTITUTE(L14,",",""))+1)</f>
        <v>3</v>
      </c>
    </row>
    <row r="15" customFormat="false" ht="22.35" hidden="false" customHeight="false" outlineLevel="0" collapsed="false">
      <c r="A15" s="18" t="s">
        <v>992</v>
      </c>
      <c r="B15" s="18" t="s">
        <v>946</v>
      </c>
      <c r="C15" s="18" t="s">
        <v>993</v>
      </c>
      <c r="D15" s="18" t="s">
        <v>948</v>
      </c>
      <c r="E15" s="18" t="s">
        <v>949</v>
      </c>
      <c r="F15" s="18" t="s">
        <v>994</v>
      </c>
      <c r="G15" s="18" t="s">
        <v>995</v>
      </c>
      <c r="H15" s="18" t="s">
        <v>961</v>
      </c>
      <c r="I15" s="18" t="s">
        <v>962</v>
      </c>
      <c r="J15" s="18" t="s">
        <v>954</v>
      </c>
      <c r="K15" s="18" t="s">
        <v>963</v>
      </c>
      <c r="L15" s="18" t="s">
        <v>956</v>
      </c>
      <c r="M15" s="18" t="n">
        <f aca="false">IF(L15="",0,LEN(L15)-LEN(SUBSTITUTE(L15,",",""))+1)</f>
        <v>10</v>
      </c>
    </row>
    <row r="16" customFormat="false" ht="22.35" hidden="false" customHeight="false" outlineLevel="0" collapsed="false">
      <c r="A16" s="18" t="s">
        <v>996</v>
      </c>
      <c r="B16" s="18" t="s">
        <v>946</v>
      </c>
      <c r="C16" s="18" t="s">
        <v>993</v>
      </c>
      <c r="D16" s="18" t="s">
        <v>948</v>
      </c>
      <c r="E16" s="18" t="s">
        <v>958</v>
      </c>
      <c r="F16" s="18" t="s">
        <v>997</v>
      </c>
      <c r="G16" s="18" t="s">
        <v>998</v>
      </c>
      <c r="H16" s="18" t="s">
        <v>952</v>
      </c>
      <c r="I16" s="18" t="s">
        <v>962</v>
      </c>
      <c r="J16" s="18" t="s">
        <v>954</v>
      </c>
      <c r="K16" s="18" t="s">
        <v>999</v>
      </c>
      <c r="L16" s="18" t="s">
        <v>956</v>
      </c>
      <c r="M16" s="18" t="n">
        <f aca="false">IF(L16="",0,LEN(L16)-LEN(SUBSTITUTE(L16,",",""))+1)</f>
        <v>10</v>
      </c>
    </row>
    <row r="17" customFormat="false" ht="22.35" hidden="false" customHeight="false" outlineLevel="0" collapsed="false">
      <c r="A17" s="18" t="s">
        <v>1000</v>
      </c>
      <c r="B17" s="18" t="s">
        <v>946</v>
      </c>
      <c r="C17" s="18" t="s">
        <v>993</v>
      </c>
      <c r="D17" s="18" t="s">
        <v>948</v>
      </c>
      <c r="E17" s="18" t="s">
        <v>965</v>
      </c>
      <c r="F17" s="18" t="s">
        <v>1001</v>
      </c>
      <c r="G17" s="18" t="s">
        <v>1002</v>
      </c>
      <c r="H17" s="18" t="s">
        <v>952</v>
      </c>
      <c r="I17" s="18" t="s">
        <v>962</v>
      </c>
      <c r="J17" s="18" t="s">
        <v>954</v>
      </c>
      <c r="K17" s="18" t="s">
        <v>963</v>
      </c>
      <c r="L17" s="18" t="s">
        <v>956</v>
      </c>
      <c r="M17" s="18" t="n">
        <f aca="false">IF(L17="",0,LEN(L17)-LEN(SUBSTITUTE(L17,",",""))+1)</f>
        <v>10</v>
      </c>
    </row>
    <row r="18" customFormat="false" ht="22.35" hidden="false" customHeight="false" outlineLevel="0" collapsed="false">
      <c r="A18" s="18" t="s">
        <v>1003</v>
      </c>
      <c r="B18" s="18" t="s">
        <v>946</v>
      </c>
      <c r="C18" s="18" t="s">
        <v>993</v>
      </c>
      <c r="D18" s="18" t="s">
        <v>970</v>
      </c>
      <c r="E18" s="18" t="s">
        <v>949</v>
      </c>
      <c r="F18" s="18" t="s">
        <v>994</v>
      </c>
      <c r="G18" s="18" t="s">
        <v>1004</v>
      </c>
      <c r="H18" s="18" t="s">
        <v>972</v>
      </c>
      <c r="I18" s="18" t="s">
        <v>962</v>
      </c>
      <c r="J18" s="18" t="s">
        <v>954</v>
      </c>
      <c r="K18" s="18" t="s">
        <v>963</v>
      </c>
      <c r="L18" s="18" t="s">
        <v>973</v>
      </c>
      <c r="M18" s="18" t="n">
        <f aca="false">IF(L18="",0,LEN(L18)-LEN(SUBSTITUTE(L18,",",""))+1)</f>
        <v>4</v>
      </c>
    </row>
    <row r="19" customFormat="false" ht="22.35" hidden="false" customHeight="false" outlineLevel="0" collapsed="false">
      <c r="A19" s="18" t="s">
        <v>1005</v>
      </c>
      <c r="B19" s="18" t="s">
        <v>946</v>
      </c>
      <c r="C19" s="18" t="s">
        <v>993</v>
      </c>
      <c r="D19" s="18" t="s">
        <v>970</v>
      </c>
      <c r="E19" s="18" t="s">
        <v>958</v>
      </c>
      <c r="F19" s="18" t="s">
        <v>997</v>
      </c>
      <c r="G19" s="18" t="s">
        <v>1006</v>
      </c>
      <c r="H19" s="18" t="s">
        <v>952</v>
      </c>
      <c r="I19" s="18" t="s">
        <v>962</v>
      </c>
      <c r="J19" s="18" t="s">
        <v>954</v>
      </c>
      <c r="K19" s="18" t="s">
        <v>999</v>
      </c>
      <c r="L19" s="18" t="s">
        <v>973</v>
      </c>
      <c r="M19" s="18" t="n">
        <f aca="false">IF(L19="",0,LEN(L19)-LEN(SUBSTITUTE(L19,",",""))+1)</f>
        <v>4</v>
      </c>
    </row>
    <row r="20" customFormat="false" ht="22.35" hidden="false" customHeight="false" outlineLevel="0" collapsed="false">
      <c r="A20" s="18" t="s">
        <v>1007</v>
      </c>
      <c r="B20" s="18" t="s">
        <v>946</v>
      </c>
      <c r="C20" s="18" t="s">
        <v>993</v>
      </c>
      <c r="D20" s="18" t="s">
        <v>970</v>
      </c>
      <c r="E20" s="18" t="s">
        <v>977</v>
      </c>
      <c r="F20" s="18" t="s">
        <v>1008</v>
      </c>
      <c r="G20" s="18" t="s">
        <v>1009</v>
      </c>
      <c r="H20" s="18" t="s">
        <v>961</v>
      </c>
      <c r="I20" s="18" t="s">
        <v>962</v>
      </c>
      <c r="J20" s="18" t="s">
        <v>980</v>
      </c>
      <c r="K20" s="18" t="s">
        <v>955</v>
      </c>
      <c r="L20" s="18" t="s">
        <v>973</v>
      </c>
      <c r="M20" s="18" t="n">
        <f aca="false">IF(L20="",0,LEN(L20)-LEN(SUBSTITUTE(L20,",",""))+1)</f>
        <v>4</v>
      </c>
    </row>
    <row r="21" customFormat="false" ht="22.35" hidden="false" customHeight="false" outlineLevel="0" collapsed="false">
      <c r="A21" s="18" t="s">
        <v>1010</v>
      </c>
      <c r="B21" s="18" t="s">
        <v>946</v>
      </c>
      <c r="C21" s="18" t="s">
        <v>993</v>
      </c>
      <c r="D21" s="18" t="s">
        <v>970</v>
      </c>
      <c r="E21" s="18" t="s">
        <v>965</v>
      </c>
      <c r="F21" s="18" t="s">
        <v>1001</v>
      </c>
      <c r="G21" s="18" t="s">
        <v>1011</v>
      </c>
      <c r="H21" s="18" t="s">
        <v>952</v>
      </c>
      <c r="I21" s="18" t="s">
        <v>962</v>
      </c>
      <c r="J21" s="18" t="s">
        <v>954</v>
      </c>
      <c r="K21" s="18" t="s">
        <v>963</v>
      </c>
      <c r="L21" s="18" t="s">
        <v>973</v>
      </c>
      <c r="M21" s="18" t="n">
        <f aca="false">IF(L21="",0,LEN(L21)-LEN(SUBSTITUTE(L21,",",""))+1)</f>
        <v>4</v>
      </c>
    </row>
    <row r="22" customFormat="false" ht="22.35" hidden="false" customHeight="false" outlineLevel="0" collapsed="false">
      <c r="A22" s="18" t="s">
        <v>1012</v>
      </c>
      <c r="B22" s="18" t="s">
        <v>946</v>
      </c>
      <c r="C22" s="18" t="s">
        <v>993</v>
      </c>
      <c r="D22" s="18" t="s">
        <v>984</v>
      </c>
      <c r="E22" s="18" t="s">
        <v>949</v>
      </c>
      <c r="F22" s="18" t="s">
        <v>994</v>
      </c>
      <c r="G22" s="18" t="s">
        <v>1013</v>
      </c>
      <c r="H22" s="18" t="s">
        <v>986</v>
      </c>
      <c r="I22" s="18" t="s">
        <v>962</v>
      </c>
      <c r="J22" s="18" t="s">
        <v>954</v>
      </c>
      <c r="K22" s="18" t="s">
        <v>963</v>
      </c>
      <c r="L22" s="18" t="s">
        <v>987</v>
      </c>
      <c r="M22" s="18" t="n">
        <f aca="false">IF(L22="",0,LEN(L22)-LEN(SUBSTITUTE(L22,",",""))+1)</f>
        <v>3</v>
      </c>
    </row>
    <row r="23" customFormat="false" ht="22.35" hidden="false" customHeight="false" outlineLevel="0" collapsed="false">
      <c r="A23" s="18" t="s">
        <v>1014</v>
      </c>
      <c r="B23" s="18" t="s">
        <v>946</v>
      </c>
      <c r="C23" s="18" t="s">
        <v>993</v>
      </c>
      <c r="D23" s="18" t="s">
        <v>984</v>
      </c>
      <c r="E23" s="18" t="s">
        <v>958</v>
      </c>
      <c r="F23" s="18" t="s">
        <v>997</v>
      </c>
      <c r="G23" s="18" t="s">
        <v>1015</v>
      </c>
      <c r="H23" s="18" t="s">
        <v>986</v>
      </c>
      <c r="I23" s="18" t="s">
        <v>962</v>
      </c>
      <c r="J23" s="18" t="s">
        <v>954</v>
      </c>
      <c r="K23" s="18" t="s">
        <v>999</v>
      </c>
      <c r="L23" s="18" t="s">
        <v>987</v>
      </c>
      <c r="M23" s="18" t="n">
        <f aca="false">IF(L23="",0,LEN(L23)-LEN(SUBSTITUTE(L23,",",""))+1)</f>
        <v>3</v>
      </c>
    </row>
    <row r="24" customFormat="false" ht="22.35" hidden="false" customHeight="false" outlineLevel="0" collapsed="false">
      <c r="A24" s="18" t="s">
        <v>1016</v>
      </c>
      <c r="B24" s="18" t="s">
        <v>946</v>
      </c>
      <c r="C24" s="18" t="s">
        <v>993</v>
      </c>
      <c r="D24" s="18" t="s">
        <v>984</v>
      </c>
      <c r="E24" s="18" t="s">
        <v>977</v>
      </c>
      <c r="F24" s="18" t="s">
        <v>1008</v>
      </c>
      <c r="G24" s="18" t="s">
        <v>1017</v>
      </c>
      <c r="H24" s="18" t="s">
        <v>986</v>
      </c>
      <c r="I24" s="18" t="s">
        <v>962</v>
      </c>
      <c r="J24" s="18" t="s">
        <v>980</v>
      </c>
      <c r="K24" s="18" t="s">
        <v>955</v>
      </c>
      <c r="L24" s="18" t="s">
        <v>987</v>
      </c>
      <c r="M24" s="18" t="n">
        <f aca="false">IF(L24="",0,LEN(L24)-LEN(SUBSTITUTE(L24,",",""))+1)</f>
        <v>3</v>
      </c>
    </row>
    <row r="25" customFormat="false" ht="22.35" hidden="false" customHeight="false" outlineLevel="0" collapsed="false">
      <c r="A25" s="18" t="s">
        <v>1018</v>
      </c>
      <c r="B25" s="18" t="s">
        <v>946</v>
      </c>
      <c r="C25" s="18" t="s">
        <v>993</v>
      </c>
      <c r="D25" s="18" t="s">
        <v>984</v>
      </c>
      <c r="E25" s="18" t="s">
        <v>965</v>
      </c>
      <c r="F25" s="18" t="s">
        <v>1001</v>
      </c>
      <c r="G25" s="18" t="s">
        <v>1019</v>
      </c>
      <c r="H25" s="18" t="s">
        <v>986</v>
      </c>
      <c r="I25" s="18" t="s">
        <v>962</v>
      </c>
      <c r="J25" s="18" t="s">
        <v>954</v>
      </c>
      <c r="K25" s="18" t="s">
        <v>963</v>
      </c>
      <c r="L25" s="18" t="s">
        <v>987</v>
      </c>
      <c r="M25" s="18" t="n">
        <f aca="false">IF(L25="",0,LEN(L25)-LEN(SUBSTITUTE(L25,",",""))+1)</f>
        <v>3</v>
      </c>
    </row>
    <row r="26" customFormat="false" ht="22.35" hidden="false" customHeight="false" outlineLevel="0" collapsed="false">
      <c r="A26" s="18" t="s">
        <v>1020</v>
      </c>
      <c r="B26" s="18" t="s">
        <v>946</v>
      </c>
      <c r="C26" s="18" t="s">
        <v>1021</v>
      </c>
      <c r="D26" s="18" t="s">
        <v>475</v>
      </c>
      <c r="E26" s="18" t="s">
        <v>949</v>
      </c>
      <c r="F26" s="18" t="s">
        <v>1022</v>
      </c>
      <c r="G26" s="18" t="s">
        <v>1023</v>
      </c>
      <c r="H26" s="18" t="s">
        <v>972</v>
      </c>
      <c r="I26" s="18" t="s">
        <v>962</v>
      </c>
      <c r="J26" s="18" t="s">
        <v>968</v>
      </c>
      <c r="K26" s="18" t="s">
        <v>963</v>
      </c>
      <c r="L26" s="18" t="s">
        <v>1024</v>
      </c>
      <c r="M26" s="18" t="n">
        <f aca="false">IF(L26="",0,LEN(L26)-LEN(SUBSTITUTE(L26,",",""))+1)</f>
        <v>8</v>
      </c>
    </row>
    <row r="27" customFormat="false" ht="22.35" hidden="false" customHeight="false" outlineLevel="0" collapsed="false">
      <c r="A27" s="18" t="s">
        <v>1025</v>
      </c>
      <c r="B27" s="18" t="s">
        <v>946</v>
      </c>
      <c r="C27" s="18" t="s">
        <v>1021</v>
      </c>
      <c r="D27" s="18" t="s">
        <v>475</v>
      </c>
      <c r="E27" s="18" t="s">
        <v>958</v>
      </c>
      <c r="F27" s="18" t="s">
        <v>1026</v>
      </c>
      <c r="G27" s="18" t="s">
        <v>1027</v>
      </c>
      <c r="H27" s="18" t="s">
        <v>972</v>
      </c>
      <c r="I27" s="18" t="s">
        <v>962</v>
      </c>
      <c r="J27" s="18" t="s">
        <v>968</v>
      </c>
      <c r="K27" s="18" t="s">
        <v>963</v>
      </c>
      <c r="L27" s="18" t="s">
        <v>1024</v>
      </c>
      <c r="M27" s="18" t="n">
        <f aca="false">IF(L27="",0,LEN(L27)-LEN(SUBSTITUTE(L27,",",""))+1)</f>
        <v>8</v>
      </c>
    </row>
    <row r="28" customFormat="false" ht="22.35" hidden="false" customHeight="false" outlineLevel="0" collapsed="false">
      <c r="A28" s="18" t="s">
        <v>1028</v>
      </c>
      <c r="B28" s="18" t="s">
        <v>946</v>
      </c>
      <c r="C28" s="18" t="s">
        <v>1021</v>
      </c>
      <c r="D28" s="18" t="s">
        <v>475</v>
      </c>
      <c r="E28" s="18" t="s">
        <v>977</v>
      </c>
      <c r="F28" s="18" t="s">
        <v>1029</v>
      </c>
      <c r="G28" s="18" t="s">
        <v>1030</v>
      </c>
      <c r="H28" s="18" t="s">
        <v>972</v>
      </c>
      <c r="I28" s="18" t="s">
        <v>962</v>
      </c>
      <c r="J28" s="18" t="s">
        <v>954</v>
      </c>
      <c r="K28" s="18" t="s">
        <v>955</v>
      </c>
      <c r="L28" s="18" t="s">
        <v>1024</v>
      </c>
      <c r="M28" s="18" t="n">
        <f aca="false">IF(L28="",0,LEN(L28)-LEN(SUBSTITUTE(L28,",",""))+1)</f>
        <v>8</v>
      </c>
    </row>
    <row r="29" customFormat="false" ht="22.35" hidden="false" customHeight="false" outlineLevel="0" collapsed="false">
      <c r="A29" s="18" t="s">
        <v>1031</v>
      </c>
      <c r="B29" s="18" t="s">
        <v>946</v>
      </c>
      <c r="C29" s="18" t="s">
        <v>1021</v>
      </c>
      <c r="D29" s="18" t="s">
        <v>475</v>
      </c>
      <c r="E29" s="18" t="s">
        <v>965</v>
      </c>
      <c r="F29" s="18" t="s">
        <v>1032</v>
      </c>
      <c r="G29" s="18" t="s">
        <v>1033</v>
      </c>
      <c r="H29" s="18" t="s">
        <v>972</v>
      </c>
      <c r="I29" s="18" t="s">
        <v>962</v>
      </c>
      <c r="J29" s="18" t="s">
        <v>954</v>
      </c>
      <c r="K29" s="18" t="s">
        <v>963</v>
      </c>
      <c r="L29" s="18" t="s">
        <v>1024</v>
      </c>
      <c r="M29" s="18" t="n">
        <f aca="false">IF(L29="",0,LEN(L29)-LEN(SUBSTITUTE(L29,",",""))+1)</f>
        <v>8</v>
      </c>
    </row>
    <row r="30" customFormat="false" ht="22.35" hidden="false" customHeight="false" outlineLevel="0" collapsed="false">
      <c r="A30" s="18" t="s">
        <v>1034</v>
      </c>
      <c r="B30" s="18" t="s">
        <v>946</v>
      </c>
      <c r="C30" s="18" t="s">
        <v>1021</v>
      </c>
      <c r="D30" s="18" t="s">
        <v>475</v>
      </c>
      <c r="E30" s="18" t="s">
        <v>1035</v>
      </c>
      <c r="F30" s="18" t="s">
        <v>1036</v>
      </c>
      <c r="G30" s="18" t="s">
        <v>1037</v>
      </c>
      <c r="H30" s="18" t="s">
        <v>972</v>
      </c>
      <c r="I30" s="18" t="s">
        <v>962</v>
      </c>
      <c r="J30" s="18" t="s">
        <v>968</v>
      </c>
      <c r="K30" s="18" t="s">
        <v>963</v>
      </c>
      <c r="L30" s="18" t="s">
        <v>1024</v>
      </c>
      <c r="M30" s="18" t="n">
        <f aca="false">IF(L30="",0,LEN(L30)-LEN(SUBSTITUTE(L30,",",""))+1)</f>
        <v>8</v>
      </c>
    </row>
    <row r="31" customFormat="false" ht="22.35" hidden="false" customHeight="false" outlineLevel="0" collapsed="false">
      <c r="A31" s="18" t="s">
        <v>1038</v>
      </c>
      <c r="B31" s="18" t="s">
        <v>946</v>
      </c>
      <c r="C31" s="18" t="s">
        <v>1021</v>
      </c>
      <c r="D31" s="18" t="s">
        <v>475</v>
      </c>
      <c r="E31" s="18" t="s">
        <v>1039</v>
      </c>
      <c r="F31" s="18" t="s">
        <v>1040</v>
      </c>
      <c r="G31" s="18" t="s">
        <v>1041</v>
      </c>
      <c r="H31" s="18" t="s">
        <v>972</v>
      </c>
      <c r="I31" s="18" t="s">
        <v>962</v>
      </c>
      <c r="J31" s="18" t="s">
        <v>954</v>
      </c>
      <c r="K31" s="18" t="s">
        <v>963</v>
      </c>
      <c r="L31" s="18" t="s">
        <v>1024</v>
      </c>
      <c r="M31" s="18" t="n">
        <f aca="false">IF(L31="",0,LEN(L31)-LEN(SUBSTITUTE(L31,",",""))+1)</f>
        <v>8</v>
      </c>
    </row>
    <row r="32" customFormat="false" ht="22.35" hidden="false" customHeight="false" outlineLevel="0" collapsed="false">
      <c r="A32" s="18" t="s">
        <v>1042</v>
      </c>
      <c r="B32" s="18" t="s">
        <v>946</v>
      </c>
      <c r="C32" s="18" t="s">
        <v>1021</v>
      </c>
      <c r="D32" s="18" t="s">
        <v>542</v>
      </c>
      <c r="E32" s="18" t="s">
        <v>949</v>
      </c>
      <c r="F32" s="18" t="s">
        <v>1022</v>
      </c>
      <c r="G32" s="18" t="s">
        <v>1043</v>
      </c>
      <c r="H32" s="18" t="s">
        <v>961</v>
      </c>
      <c r="I32" s="18" t="s">
        <v>962</v>
      </c>
      <c r="J32" s="18" t="s">
        <v>968</v>
      </c>
      <c r="K32" s="18" t="s">
        <v>963</v>
      </c>
      <c r="L32" s="18" t="s">
        <v>1044</v>
      </c>
      <c r="M32" s="18" t="n">
        <f aca="false">IF(L32="",0,LEN(L32)-LEN(SUBSTITUTE(L32,",",""))+1)</f>
        <v>4</v>
      </c>
    </row>
    <row r="33" customFormat="false" ht="22.35" hidden="false" customHeight="false" outlineLevel="0" collapsed="false">
      <c r="A33" s="18" t="s">
        <v>1045</v>
      </c>
      <c r="B33" s="18" t="s">
        <v>946</v>
      </c>
      <c r="C33" s="18" t="s">
        <v>1021</v>
      </c>
      <c r="D33" s="18" t="s">
        <v>542</v>
      </c>
      <c r="E33" s="18" t="s">
        <v>958</v>
      </c>
      <c r="F33" s="18" t="s">
        <v>1026</v>
      </c>
      <c r="G33" s="18" t="s">
        <v>1027</v>
      </c>
      <c r="H33" s="18" t="s">
        <v>972</v>
      </c>
      <c r="I33" s="18" t="s">
        <v>962</v>
      </c>
      <c r="J33" s="18" t="s">
        <v>968</v>
      </c>
      <c r="K33" s="18" t="s">
        <v>963</v>
      </c>
      <c r="L33" s="18" t="s">
        <v>1044</v>
      </c>
      <c r="M33" s="18" t="n">
        <f aca="false">IF(L33="",0,LEN(L33)-LEN(SUBSTITUTE(L33,",",""))+1)</f>
        <v>4</v>
      </c>
    </row>
    <row r="34" customFormat="false" ht="22.35" hidden="false" customHeight="false" outlineLevel="0" collapsed="false">
      <c r="A34" s="18" t="s">
        <v>1046</v>
      </c>
      <c r="B34" s="18" t="s">
        <v>946</v>
      </c>
      <c r="C34" s="18" t="s">
        <v>1021</v>
      </c>
      <c r="D34" s="18" t="s">
        <v>542</v>
      </c>
      <c r="E34" s="18" t="s">
        <v>977</v>
      </c>
      <c r="F34" s="18" t="s">
        <v>1029</v>
      </c>
      <c r="G34" s="18" t="s">
        <v>1047</v>
      </c>
      <c r="H34" s="18" t="s">
        <v>952</v>
      </c>
      <c r="I34" s="18" t="s">
        <v>962</v>
      </c>
      <c r="J34" s="18" t="s">
        <v>954</v>
      </c>
      <c r="K34" s="18" t="s">
        <v>955</v>
      </c>
      <c r="L34" s="18" t="s">
        <v>1044</v>
      </c>
      <c r="M34" s="18" t="n">
        <f aca="false">IF(L34="",0,LEN(L34)-LEN(SUBSTITUTE(L34,",",""))+1)</f>
        <v>4</v>
      </c>
    </row>
    <row r="35" customFormat="false" ht="22.35" hidden="false" customHeight="false" outlineLevel="0" collapsed="false">
      <c r="A35" s="18" t="s">
        <v>1048</v>
      </c>
      <c r="B35" s="18" t="s">
        <v>946</v>
      </c>
      <c r="C35" s="18" t="s">
        <v>1021</v>
      </c>
      <c r="D35" s="18" t="s">
        <v>542</v>
      </c>
      <c r="E35" s="18" t="s">
        <v>965</v>
      </c>
      <c r="F35" s="18" t="s">
        <v>1032</v>
      </c>
      <c r="G35" s="18" t="s">
        <v>1049</v>
      </c>
      <c r="H35" s="18" t="s">
        <v>972</v>
      </c>
      <c r="I35" s="18" t="s">
        <v>962</v>
      </c>
      <c r="J35" s="18" t="s">
        <v>954</v>
      </c>
      <c r="K35" s="18" t="s">
        <v>963</v>
      </c>
      <c r="L35" s="18" t="s">
        <v>1044</v>
      </c>
      <c r="M35" s="18" t="n">
        <f aca="false">IF(L35="",0,LEN(L35)-LEN(SUBSTITUTE(L35,",",""))+1)</f>
        <v>4</v>
      </c>
    </row>
    <row r="36" customFormat="false" ht="22.35" hidden="false" customHeight="false" outlineLevel="0" collapsed="false">
      <c r="A36" s="18" t="s">
        <v>1050</v>
      </c>
      <c r="B36" s="18" t="s">
        <v>946</v>
      </c>
      <c r="C36" s="18" t="s">
        <v>1021</v>
      </c>
      <c r="D36" s="18" t="s">
        <v>542</v>
      </c>
      <c r="E36" s="18" t="s">
        <v>1035</v>
      </c>
      <c r="F36" s="18" t="s">
        <v>1036</v>
      </c>
      <c r="G36" s="18" t="s">
        <v>1037</v>
      </c>
      <c r="H36" s="18" t="s">
        <v>972</v>
      </c>
      <c r="I36" s="18" t="s">
        <v>962</v>
      </c>
      <c r="J36" s="18" t="s">
        <v>968</v>
      </c>
      <c r="K36" s="18" t="s">
        <v>963</v>
      </c>
      <c r="L36" s="18" t="s">
        <v>1044</v>
      </c>
      <c r="M36" s="18" t="n">
        <f aca="false">IF(L36="",0,LEN(L36)-LEN(SUBSTITUTE(L36,",",""))+1)</f>
        <v>4</v>
      </c>
    </row>
    <row r="37" customFormat="false" ht="15" hidden="false" customHeight="false" outlineLevel="0" collapsed="false">
      <c r="A37" s="18" t="s">
        <v>1051</v>
      </c>
      <c r="B37" s="18" t="s">
        <v>946</v>
      </c>
      <c r="C37" s="18" t="s">
        <v>1021</v>
      </c>
      <c r="D37" s="18" t="s">
        <v>542</v>
      </c>
      <c r="E37" s="18" t="s">
        <v>1052</v>
      </c>
      <c r="F37" s="18" t="s">
        <v>1053</v>
      </c>
      <c r="G37" s="18" t="s">
        <v>1054</v>
      </c>
      <c r="H37" s="18" t="s">
        <v>1055</v>
      </c>
      <c r="I37" s="18" t="s">
        <v>953</v>
      </c>
      <c r="J37" s="18" t="s">
        <v>954</v>
      </c>
      <c r="K37" s="18" t="s">
        <v>955</v>
      </c>
      <c r="L37" s="18" t="s">
        <v>1044</v>
      </c>
      <c r="M37" s="18" t="n">
        <f aca="false">IF(L37="",0,LEN(L37)-LEN(SUBSTITUTE(L37,",",""))+1)</f>
        <v>4</v>
      </c>
    </row>
    <row r="38" customFormat="false" ht="15" hidden="false" customHeight="false" outlineLevel="0" collapsed="false">
      <c r="A38" s="18" t="s">
        <v>1056</v>
      </c>
      <c r="B38" s="18" t="s">
        <v>946</v>
      </c>
      <c r="C38" s="18" t="s">
        <v>1021</v>
      </c>
      <c r="D38" s="18" t="s">
        <v>984</v>
      </c>
      <c r="E38" s="18" t="s">
        <v>949</v>
      </c>
      <c r="F38" s="18" t="s">
        <v>1022</v>
      </c>
      <c r="G38" s="18" t="s">
        <v>1057</v>
      </c>
      <c r="H38" s="18" t="s">
        <v>986</v>
      </c>
      <c r="I38" s="18" t="s">
        <v>962</v>
      </c>
      <c r="J38" s="18" t="s">
        <v>968</v>
      </c>
      <c r="K38" s="18" t="s">
        <v>963</v>
      </c>
      <c r="L38" s="18" t="s">
        <v>987</v>
      </c>
      <c r="M38" s="18" t="n">
        <f aca="false">IF(L38="",0,LEN(L38)-LEN(SUBSTITUTE(L38,",",""))+1)</f>
        <v>3</v>
      </c>
    </row>
    <row r="39" customFormat="false" ht="22.35" hidden="false" customHeight="false" outlineLevel="0" collapsed="false">
      <c r="A39" s="18" t="s">
        <v>1058</v>
      </c>
      <c r="B39" s="18" t="s">
        <v>946</v>
      </c>
      <c r="C39" s="18" t="s">
        <v>1021</v>
      </c>
      <c r="D39" s="18" t="s">
        <v>984</v>
      </c>
      <c r="E39" s="18" t="s">
        <v>958</v>
      </c>
      <c r="F39" s="18" t="s">
        <v>1026</v>
      </c>
      <c r="G39" s="18" t="s">
        <v>1059</v>
      </c>
      <c r="H39" s="18" t="s">
        <v>986</v>
      </c>
      <c r="I39" s="18" t="s">
        <v>962</v>
      </c>
      <c r="J39" s="18" t="s">
        <v>968</v>
      </c>
      <c r="K39" s="18" t="s">
        <v>963</v>
      </c>
      <c r="L39" s="18" t="s">
        <v>987</v>
      </c>
      <c r="M39" s="18" t="n">
        <f aca="false">IF(L39="",0,LEN(L39)-LEN(SUBSTITUTE(L39,",",""))+1)</f>
        <v>3</v>
      </c>
    </row>
    <row r="40" customFormat="false" ht="22.35" hidden="false" customHeight="false" outlineLevel="0" collapsed="false">
      <c r="A40" s="18" t="s">
        <v>1060</v>
      </c>
      <c r="B40" s="18" t="s">
        <v>946</v>
      </c>
      <c r="C40" s="18" t="s">
        <v>1021</v>
      </c>
      <c r="D40" s="18" t="s">
        <v>984</v>
      </c>
      <c r="E40" s="18" t="s">
        <v>977</v>
      </c>
      <c r="F40" s="18" t="s">
        <v>1029</v>
      </c>
      <c r="G40" s="18" t="s">
        <v>1061</v>
      </c>
      <c r="H40" s="18" t="s">
        <v>986</v>
      </c>
      <c r="I40" s="18" t="s">
        <v>962</v>
      </c>
      <c r="J40" s="18" t="s">
        <v>954</v>
      </c>
      <c r="K40" s="18" t="s">
        <v>955</v>
      </c>
      <c r="L40" s="18" t="s">
        <v>987</v>
      </c>
      <c r="M40" s="18" t="n">
        <f aca="false">IF(L40="",0,LEN(L40)-LEN(SUBSTITUTE(L40,",",""))+1)</f>
        <v>3</v>
      </c>
    </row>
    <row r="41" customFormat="false" ht="22.35" hidden="false" customHeight="false" outlineLevel="0" collapsed="false">
      <c r="A41" s="18" t="s">
        <v>1062</v>
      </c>
      <c r="B41" s="18" t="s">
        <v>946</v>
      </c>
      <c r="C41" s="18" t="s">
        <v>1021</v>
      </c>
      <c r="D41" s="18" t="s">
        <v>984</v>
      </c>
      <c r="E41" s="18" t="s">
        <v>965</v>
      </c>
      <c r="F41" s="18" t="s">
        <v>1032</v>
      </c>
      <c r="G41" s="18" t="s">
        <v>1063</v>
      </c>
      <c r="H41" s="18" t="s">
        <v>986</v>
      </c>
      <c r="I41" s="18" t="s">
        <v>962</v>
      </c>
      <c r="J41" s="18" t="s">
        <v>954</v>
      </c>
      <c r="K41" s="18" t="s">
        <v>963</v>
      </c>
      <c r="L41" s="18" t="s">
        <v>987</v>
      </c>
      <c r="M41" s="18" t="n">
        <f aca="false">IF(L41="",0,LEN(L41)-LEN(SUBSTITUTE(L41,",",""))+1)</f>
        <v>3</v>
      </c>
    </row>
    <row r="42" customFormat="false" ht="15" hidden="false" customHeight="false" outlineLevel="0" collapsed="false">
      <c r="A42" s="18" t="s">
        <v>1064</v>
      </c>
      <c r="B42" s="18" t="s">
        <v>946</v>
      </c>
      <c r="C42" s="18" t="s">
        <v>1021</v>
      </c>
      <c r="D42" s="18" t="s">
        <v>984</v>
      </c>
      <c r="E42" s="18" t="s">
        <v>1039</v>
      </c>
      <c r="F42" s="18" t="s">
        <v>1040</v>
      </c>
      <c r="G42" s="18" t="s">
        <v>1065</v>
      </c>
      <c r="H42" s="18" t="s">
        <v>986</v>
      </c>
      <c r="I42" s="18" t="s">
        <v>962</v>
      </c>
      <c r="J42" s="18" t="s">
        <v>954</v>
      </c>
      <c r="K42" s="18" t="s">
        <v>963</v>
      </c>
      <c r="L42" s="18" t="s">
        <v>987</v>
      </c>
      <c r="M42" s="18" t="n">
        <f aca="false">IF(L42="",0,LEN(L42)-LEN(SUBSTITUTE(L42,",",""))+1)</f>
        <v>3</v>
      </c>
    </row>
    <row r="43" customFormat="false" ht="32.8" hidden="false" customHeight="false" outlineLevel="0" collapsed="false">
      <c r="A43" s="18" t="s">
        <v>1066</v>
      </c>
      <c r="B43" s="18" t="s">
        <v>946</v>
      </c>
      <c r="C43" s="18" t="s">
        <v>1021</v>
      </c>
      <c r="D43" s="18" t="s">
        <v>312</v>
      </c>
      <c r="E43" s="18" t="s">
        <v>949</v>
      </c>
      <c r="F43" s="18" t="s">
        <v>1022</v>
      </c>
      <c r="G43" s="18" t="s">
        <v>1067</v>
      </c>
      <c r="H43" s="18" t="s">
        <v>972</v>
      </c>
      <c r="I43" s="18" t="s">
        <v>962</v>
      </c>
      <c r="J43" s="18" t="s">
        <v>968</v>
      </c>
      <c r="K43" s="18" t="s">
        <v>963</v>
      </c>
      <c r="L43" s="18" t="s">
        <v>1068</v>
      </c>
      <c r="M43" s="18" t="n">
        <f aca="false">IF(L43="",0,LEN(L43)-LEN(SUBSTITUTE(L43,",",""))+1)</f>
        <v>18</v>
      </c>
    </row>
    <row r="44" customFormat="false" ht="32.8" hidden="false" customHeight="false" outlineLevel="0" collapsed="false">
      <c r="A44" s="18" t="s">
        <v>1069</v>
      </c>
      <c r="B44" s="18" t="s">
        <v>946</v>
      </c>
      <c r="C44" s="18" t="s">
        <v>1021</v>
      </c>
      <c r="D44" s="18" t="s">
        <v>312</v>
      </c>
      <c r="E44" s="18" t="s">
        <v>958</v>
      </c>
      <c r="F44" s="18" t="s">
        <v>1026</v>
      </c>
      <c r="G44" s="18" t="s">
        <v>1070</v>
      </c>
      <c r="H44" s="18" t="s">
        <v>972</v>
      </c>
      <c r="I44" s="18" t="s">
        <v>962</v>
      </c>
      <c r="J44" s="18" t="s">
        <v>968</v>
      </c>
      <c r="K44" s="18" t="s">
        <v>963</v>
      </c>
      <c r="L44" s="18" t="s">
        <v>1068</v>
      </c>
      <c r="M44" s="18" t="n">
        <f aca="false">IF(L44="",0,LEN(L44)-LEN(SUBSTITUTE(L44,",",""))+1)</f>
        <v>18</v>
      </c>
    </row>
    <row r="45" customFormat="false" ht="32.8" hidden="false" customHeight="false" outlineLevel="0" collapsed="false">
      <c r="A45" s="18" t="s">
        <v>1071</v>
      </c>
      <c r="B45" s="18" t="s">
        <v>946</v>
      </c>
      <c r="C45" s="18" t="s">
        <v>1021</v>
      </c>
      <c r="D45" s="18" t="s">
        <v>312</v>
      </c>
      <c r="E45" s="18" t="s">
        <v>977</v>
      </c>
      <c r="F45" s="18" t="s">
        <v>1029</v>
      </c>
      <c r="G45" s="18" t="s">
        <v>1030</v>
      </c>
      <c r="H45" s="18" t="s">
        <v>972</v>
      </c>
      <c r="I45" s="18" t="s">
        <v>962</v>
      </c>
      <c r="J45" s="18" t="s">
        <v>954</v>
      </c>
      <c r="K45" s="18" t="s">
        <v>955</v>
      </c>
      <c r="L45" s="18" t="s">
        <v>1068</v>
      </c>
      <c r="M45" s="18" t="n">
        <f aca="false">IF(L45="",0,LEN(L45)-LEN(SUBSTITUTE(L45,",",""))+1)</f>
        <v>18</v>
      </c>
    </row>
    <row r="46" customFormat="false" ht="32.8" hidden="false" customHeight="false" outlineLevel="0" collapsed="false">
      <c r="A46" s="18" t="s">
        <v>1072</v>
      </c>
      <c r="B46" s="18" t="s">
        <v>946</v>
      </c>
      <c r="C46" s="18" t="s">
        <v>1021</v>
      </c>
      <c r="D46" s="18" t="s">
        <v>312</v>
      </c>
      <c r="E46" s="18" t="s">
        <v>965</v>
      </c>
      <c r="F46" s="18" t="s">
        <v>1032</v>
      </c>
      <c r="G46" s="18" t="s">
        <v>1033</v>
      </c>
      <c r="H46" s="18" t="s">
        <v>972</v>
      </c>
      <c r="I46" s="18" t="s">
        <v>962</v>
      </c>
      <c r="J46" s="18" t="s">
        <v>954</v>
      </c>
      <c r="K46" s="18" t="s">
        <v>963</v>
      </c>
      <c r="L46" s="18" t="s">
        <v>1068</v>
      </c>
      <c r="M46" s="18" t="n">
        <f aca="false">IF(L46="",0,LEN(L46)-LEN(SUBSTITUTE(L46,",",""))+1)</f>
        <v>18</v>
      </c>
    </row>
    <row r="47" customFormat="false" ht="32.8" hidden="false" customHeight="false" outlineLevel="0" collapsed="false">
      <c r="A47" s="18" t="s">
        <v>1073</v>
      </c>
      <c r="B47" s="18" t="s">
        <v>946</v>
      </c>
      <c r="C47" s="18" t="s">
        <v>1021</v>
      </c>
      <c r="D47" s="18" t="s">
        <v>312</v>
      </c>
      <c r="E47" s="18" t="s">
        <v>1035</v>
      </c>
      <c r="F47" s="18" t="s">
        <v>1036</v>
      </c>
      <c r="G47" s="18" t="s">
        <v>1037</v>
      </c>
      <c r="H47" s="18" t="s">
        <v>972</v>
      </c>
      <c r="I47" s="18" t="s">
        <v>962</v>
      </c>
      <c r="J47" s="18" t="s">
        <v>968</v>
      </c>
      <c r="K47" s="18" t="s">
        <v>963</v>
      </c>
      <c r="L47" s="18" t="s">
        <v>1068</v>
      </c>
      <c r="M47" s="18" t="n">
        <f aca="false">IF(L47="",0,LEN(L47)-LEN(SUBSTITUTE(L47,",",""))+1)</f>
        <v>18</v>
      </c>
    </row>
    <row r="48" customFormat="false" ht="32.8" hidden="false" customHeight="false" outlineLevel="0" collapsed="false">
      <c r="A48" s="18" t="s">
        <v>1074</v>
      </c>
      <c r="B48" s="18" t="s">
        <v>946</v>
      </c>
      <c r="C48" s="18" t="s">
        <v>1021</v>
      </c>
      <c r="D48" s="18" t="s">
        <v>312</v>
      </c>
      <c r="E48" s="18" t="s">
        <v>1039</v>
      </c>
      <c r="F48" s="18" t="s">
        <v>1040</v>
      </c>
      <c r="G48" s="18" t="s">
        <v>1041</v>
      </c>
      <c r="H48" s="18" t="s">
        <v>972</v>
      </c>
      <c r="I48" s="18" t="s">
        <v>962</v>
      </c>
      <c r="J48" s="18" t="s">
        <v>954</v>
      </c>
      <c r="K48" s="18" t="s">
        <v>963</v>
      </c>
      <c r="L48" s="18" t="s">
        <v>1068</v>
      </c>
      <c r="M48" s="18" t="n">
        <f aca="false">IF(L48="",0,LEN(L48)-LEN(SUBSTITUTE(L48,",",""))+1)</f>
        <v>18</v>
      </c>
    </row>
    <row r="49" customFormat="false" ht="32.8" hidden="false" customHeight="false" outlineLevel="0" collapsed="false">
      <c r="A49" s="18" t="s">
        <v>1075</v>
      </c>
      <c r="B49" s="18" t="s">
        <v>946</v>
      </c>
      <c r="C49" s="18" t="s">
        <v>947</v>
      </c>
      <c r="D49" s="18" t="s">
        <v>1076</v>
      </c>
      <c r="E49" s="18" t="s">
        <v>949</v>
      </c>
      <c r="F49" s="18" t="s">
        <v>950</v>
      </c>
      <c r="G49" s="18" t="s">
        <v>1077</v>
      </c>
      <c r="H49" s="18" t="s">
        <v>952</v>
      </c>
      <c r="I49" s="18" t="s">
        <v>953</v>
      </c>
      <c r="J49" s="18" t="s">
        <v>954</v>
      </c>
      <c r="K49" s="18" t="s">
        <v>955</v>
      </c>
      <c r="L49" s="18" t="s">
        <v>1078</v>
      </c>
      <c r="M49" s="18" t="n">
        <f aca="false">IF(L49="",0,LEN(L49)-LEN(SUBSTITUTE(L49,",",""))+1)</f>
        <v>14</v>
      </c>
    </row>
    <row r="50" customFormat="false" ht="32.8" hidden="false" customHeight="false" outlineLevel="0" collapsed="false">
      <c r="A50" s="18" t="s">
        <v>1079</v>
      </c>
      <c r="B50" s="18" t="s">
        <v>946</v>
      </c>
      <c r="C50" s="18" t="s">
        <v>947</v>
      </c>
      <c r="D50" s="18" t="s">
        <v>1076</v>
      </c>
      <c r="E50" s="18" t="s">
        <v>958</v>
      </c>
      <c r="F50" s="18" t="s">
        <v>959</v>
      </c>
      <c r="G50" s="18" t="s">
        <v>1080</v>
      </c>
      <c r="H50" s="18" t="s">
        <v>961</v>
      </c>
      <c r="I50" s="18" t="s">
        <v>962</v>
      </c>
      <c r="J50" s="18" t="s">
        <v>954</v>
      </c>
      <c r="K50" s="18" t="s">
        <v>963</v>
      </c>
      <c r="L50" s="18" t="s">
        <v>1078</v>
      </c>
      <c r="M50" s="18" t="n">
        <f aca="false">IF(L50="",0,LEN(L50)-LEN(SUBSTITUTE(L50,",",""))+1)</f>
        <v>14</v>
      </c>
    </row>
    <row r="51" customFormat="false" ht="32.8" hidden="false" customHeight="false" outlineLevel="0" collapsed="false">
      <c r="A51" s="18" t="s">
        <v>1081</v>
      </c>
      <c r="B51" s="18" t="s">
        <v>946</v>
      </c>
      <c r="C51" s="18" t="s">
        <v>947</v>
      </c>
      <c r="D51" s="18" t="s">
        <v>1076</v>
      </c>
      <c r="E51" s="18" t="s">
        <v>977</v>
      </c>
      <c r="F51" s="18" t="s">
        <v>978</v>
      </c>
      <c r="G51" s="18" t="s">
        <v>1082</v>
      </c>
      <c r="H51" s="18" t="s">
        <v>952</v>
      </c>
      <c r="I51" s="18" t="s">
        <v>962</v>
      </c>
      <c r="J51" s="18" t="s">
        <v>980</v>
      </c>
      <c r="K51" s="18" t="s">
        <v>955</v>
      </c>
      <c r="L51" s="18" t="s">
        <v>1078</v>
      </c>
      <c r="M51" s="18" t="n">
        <f aca="false">IF(L51="",0,LEN(L51)-LEN(SUBSTITUTE(L51,",",""))+1)</f>
        <v>14</v>
      </c>
    </row>
    <row r="52" customFormat="false" ht="32.8" hidden="false" customHeight="false" outlineLevel="0" collapsed="false">
      <c r="A52" s="18" t="s">
        <v>1083</v>
      </c>
      <c r="B52" s="18" t="s">
        <v>946</v>
      </c>
      <c r="C52" s="18" t="s">
        <v>947</v>
      </c>
      <c r="D52" s="18" t="s">
        <v>1076</v>
      </c>
      <c r="E52" s="18" t="s">
        <v>965</v>
      </c>
      <c r="F52" s="18" t="s">
        <v>966</v>
      </c>
      <c r="G52" s="18" t="s">
        <v>1084</v>
      </c>
      <c r="H52" s="18" t="s">
        <v>961</v>
      </c>
      <c r="I52" s="18" t="s">
        <v>962</v>
      </c>
      <c r="J52" s="18" t="s">
        <v>968</v>
      </c>
      <c r="K52" s="18" t="s">
        <v>963</v>
      </c>
      <c r="L52" s="18" t="s">
        <v>1078</v>
      </c>
      <c r="M52" s="18" t="n">
        <f aca="false">IF(L52="",0,LEN(L52)-LEN(SUBSTITUTE(L52,",",""))+1)</f>
        <v>14</v>
      </c>
    </row>
    <row r="53" customFormat="false" ht="32.8" hidden="false" customHeight="false" outlineLevel="0" collapsed="false">
      <c r="A53" s="18" t="s">
        <v>1085</v>
      </c>
      <c r="B53" s="18" t="s">
        <v>946</v>
      </c>
      <c r="C53" s="18" t="s">
        <v>993</v>
      </c>
      <c r="D53" s="18" t="s">
        <v>1076</v>
      </c>
      <c r="E53" s="18" t="s">
        <v>949</v>
      </c>
      <c r="F53" s="18" t="s">
        <v>994</v>
      </c>
      <c r="G53" s="18" t="s">
        <v>1086</v>
      </c>
      <c r="H53" s="18" t="s">
        <v>961</v>
      </c>
      <c r="I53" s="18" t="s">
        <v>962</v>
      </c>
      <c r="J53" s="18" t="s">
        <v>954</v>
      </c>
      <c r="K53" s="18" t="s">
        <v>963</v>
      </c>
      <c r="L53" s="18" t="s">
        <v>1078</v>
      </c>
      <c r="M53" s="18" t="n">
        <f aca="false">IF(L53="",0,LEN(L53)-LEN(SUBSTITUTE(L53,",",""))+1)</f>
        <v>14</v>
      </c>
    </row>
    <row r="54" customFormat="false" ht="32.8" hidden="false" customHeight="false" outlineLevel="0" collapsed="false">
      <c r="A54" s="18" t="s">
        <v>1087</v>
      </c>
      <c r="B54" s="18" t="s">
        <v>946</v>
      </c>
      <c r="C54" s="18" t="s">
        <v>993</v>
      </c>
      <c r="D54" s="18" t="s">
        <v>1076</v>
      </c>
      <c r="E54" s="18" t="s">
        <v>958</v>
      </c>
      <c r="F54" s="18" t="s">
        <v>997</v>
      </c>
      <c r="G54" s="18" t="s">
        <v>998</v>
      </c>
      <c r="H54" s="18" t="s">
        <v>952</v>
      </c>
      <c r="I54" s="18" t="s">
        <v>962</v>
      </c>
      <c r="J54" s="18" t="s">
        <v>954</v>
      </c>
      <c r="K54" s="18" t="s">
        <v>999</v>
      </c>
      <c r="L54" s="18" t="s">
        <v>1078</v>
      </c>
      <c r="M54" s="18" t="n">
        <f aca="false">IF(L54="",0,LEN(L54)-LEN(SUBSTITUTE(L54,",",""))+1)</f>
        <v>14</v>
      </c>
    </row>
    <row r="55" customFormat="false" ht="32.8" hidden="false" customHeight="false" outlineLevel="0" collapsed="false">
      <c r="A55" s="18" t="s">
        <v>1088</v>
      </c>
      <c r="B55" s="18" t="s">
        <v>946</v>
      </c>
      <c r="C55" s="18" t="s">
        <v>993</v>
      </c>
      <c r="D55" s="18" t="s">
        <v>1076</v>
      </c>
      <c r="E55" s="18" t="s">
        <v>977</v>
      </c>
      <c r="F55" s="18" t="s">
        <v>1008</v>
      </c>
      <c r="G55" s="18" t="s">
        <v>1089</v>
      </c>
      <c r="H55" s="18" t="s">
        <v>961</v>
      </c>
      <c r="I55" s="18" t="s">
        <v>962</v>
      </c>
      <c r="J55" s="18" t="s">
        <v>980</v>
      </c>
      <c r="K55" s="18" t="s">
        <v>955</v>
      </c>
      <c r="L55" s="18" t="s">
        <v>1078</v>
      </c>
      <c r="M55" s="18" t="n">
        <f aca="false">IF(L55="",0,LEN(L55)-LEN(SUBSTITUTE(L55,",",""))+1)</f>
        <v>14</v>
      </c>
    </row>
    <row r="56" customFormat="false" ht="32.8" hidden="false" customHeight="false" outlineLevel="0" collapsed="false">
      <c r="A56" s="18" t="s">
        <v>1090</v>
      </c>
      <c r="B56" s="18" t="s">
        <v>946</v>
      </c>
      <c r="C56" s="18" t="s">
        <v>993</v>
      </c>
      <c r="D56" s="18" t="s">
        <v>1076</v>
      </c>
      <c r="E56" s="18" t="s">
        <v>965</v>
      </c>
      <c r="F56" s="18" t="s">
        <v>1001</v>
      </c>
      <c r="G56" s="18" t="s">
        <v>1091</v>
      </c>
      <c r="H56" s="18" t="s">
        <v>952</v>
      </c>
      <c r="I56" s="18" t="s">
        <v>962</v>
      </c>
      <c r="J56" s="18" t="s">
        <v>954</v>
      </c>
      <c r="K56" s="18" t="s">
        <v>963</v>
      </c>
      <c r="L56" s="18" t="s">
        <v>1078</v>
      </c>
      <c r="M56" s="18" t="n">
        <f aca="false">IF(L56="",0,LEN(L56)-LEN(SUBSTITUTE(L56,",",""))+1)</f>
        <v>14</v>
      </c>
    </row>
    <row r="57" customFormat="false" ht="22.35" hidden="false" customHeight="false" outlineLevel="0" collapsed="false">
      <c r="A57" s="18" t="s">
        <v>1092</v>
      </c>
      <c r="B57" s="18" t="s">
        <v>946</v>
      </c>
      <c r="C57" s="18" t="s">
        <v>1093</v>
      </c>
      <c r="D57" s="18" t="s">
        <v>1094</v>
      </c>
      <c r="E57" s="18" t="s">
        <v>949</v>
      </c>
      <c r="F57" s="18" t="s">
        <v>1095</v>
      </c>
      <c r="G57" s="18" t="s">
        <v>1096</v>
      </c>
      <c r="H57" s="18" t="s">
        <v>972</v>
      </c>
      <c r="I57" s="18" t="s">
        <v>962</v>
      </c>
      <c r="J57" s="18" t="s">
        <v>968</v>
      </c>
      <c r="K57" s="18" t="s">
        <v>963</v>
      </c>
      <c r="L57" s="18" t="s">
        <v>1097</v>
      </c>
      <c r="M57" s="18" t="n">
        <f aca="false">IF(L57="",0,LEN(L57)-LEN(SUBSTITUTE(L57,",",""))+1)</f>
        <v>4</v>
      </c>
    </row>
    <row r="58" customFormat="false" ht="22.35" hidden="false" customHeight="false" outlineLevel="0" collapsed="false">
      <c r="A58" s="18" t="s">
        <v>1098</v>
      </c>
      <c r="B58" s="18" t="s">
        <v>946</v>
      </c>
      <c r="C58" s="18" t="s">
        <v>1093</v>
      </c>
      <c r="D58" s="18" t="s">
        <v>1094</v>
      </c>
      <c r="E58" s="18" t="s">
        <v>958</v>
      </c>
      <c r="F58" s="18" t="s">
        <v>1099</v>
      </c>
      <c r="G58" s="18" t="s">
        <v>1100</v>
      </c>
      <c r="H58" s="18" t="s">
        <v>1055</v>
      </c>
      <c r="I58" s="18" t="s">
        <v>962</v>
      </c>
      <c r="J58" s="18" t="s">
        <v>954</v>
      </c>
      <c r="K58" s="18" t="s">
        <v>955</v>
      </c>
      <c r="L58" s="18" t="s">
        <v>1097</v>
      </c>
      <c r="M58" s="18" t="n">
        <f aca="false">IF(L58="",0,LEN(L58)-LEN(SUBSTITUTE(L58,",",""))+1)</f>
        <v>4</v>
      </c>
    </row>
    <row r="59" customFormat="false" ht="22.35" hidden="false" customHeight="false" outlineLevel="0" collapsed="false">
      <c r="A59" s="18" t="s">
        <v>1101</v>
      </c>
      <c r="B59" s="18" t="s">
        <v>946</v>
      </c>
      <c r="C59" s="18" t="s">
        <v>1093</v>
      </c>
      <c r="D59" s="18" t="s">
        <v>1094</v>
      </c>
      <c r="E59" s="18" t="s">
        <v>1035</v>
      </c>
      <c r="F59" s="18" t="s">
        <v>1102</v>
      </c>
      <c r="G59" s="18" t="s">
        <v>1103</v>
      </c>
      <c r="H59" s="18" t="s">
        <v>972</v>
      </c>
      <c r="I59" s="18" t="s">
        <v>962</v>
      </c>
      <c r="J59" s="18" t="s">
        <v>954</v>
      </c>
      <c r="K59" s="18" t="s">
        <v>963</v>
      </c>
      <c r="L59" s="18" t="s">
        <v>1097</v>
      </c>
      <c r="M59" s="18" t="n">
        <f aca="false">IF(L59="",0,LEN(L59)-LEN(SUBSTITUTE(L59,",",""))+1)</f>
        <v>4</v>
      </c>
    </row>
    <row r="60" customFormat="false" ht="15" hidden="false" customHeight="false" outlineLevel="0" collapsed="false">
      <c r="A60" s="18" t="s">
        <v>1104</v>
      </c>
      <c r="B60" s="18" t="s">
        <v>946</v>
      </c>
      <c r="C60" s="18" t="s">
        <v>1093</v>
      </c>
      <c r="D60" s="18" t="s">
        <v>1094</v>
      </c>
      <c r="E60" s="18" t="s">
        <v>1052</v>
      </c>
      <c r="F60" s="18" t="s">
        <v>1105</v>
      </c>
      <c r="G60" s="18" t="s">
        <v>1106</v>
      </c>
      <c r="H60" s="18" t="s">
        <v>972</v>
      </c>
      <c r="I60" s="18" t="s">
        <v>962</v>
      </c>
      <c r="J60" s="18" t="s">
        <v>954</v>
      </c>
      <c r="K60" s="18" t="s">
        <v>963</v>
      </c>
      <c r="L60" s="18" t="s">
        <v>1097</v>
      </c>
      <c r="M60" s="18" t="n">
        <f aca="false">IF(L60="",0,LEN(L60)-LEN(SUBSTITUTE(L60,",",""))+1)</f>
        <v>4</v>
      </c>
    </row>
    <row r="61" customFormat="false" ht="22.35" hidden="false" customHeight="false" outlineLevel="0" collapsed="false">
      <c r="A61" s="18" t="s">
        <v>1107</v>
      </c>
      <c r="B61" s="18" t="s">
        <v>946</v>
      </c>
      <c r="C61" s="18" t="s">
        <v>1093</v>
      </c>
      <c r="D61" s="18" t="s">
        <v>1108</v>
      </c>
      <c r="E61" s="18" t="s">
        <v>949</v>
      </c>
      <c r="F61" s="18" t="s">
        <v>1095</v>
      </c>
      <c r="G61" s="18" t="s">
        <v>1109</v>
      </c>
      <c r="H61" s="18" t="s">
        <v>972</v>
      </c>
      <c r="I61" s="18" t="s">
        <v>962</v>
      </c>
      <c r="J61" s="18" t="s">
        <v>968</v>
      </c>
      <c r="K61" s="18" t="s">
        <v>963</v>
      </c>
      <c r="L61" s="18" t="s">
        <v>1110</v>
      </c>
      <c r="M61" s="18" t="n">
        <f aca="false">IF(L61="",0,LEN(L61)-LEN(SUBSTITUTE(L61,",",""))+1)</f>
        <v>3</v>
      </c>
    </row>
    <row r="62" customFormat="false" ht="22.35" hidden="false" customHeight="false" outlineLevel="0" collapsed="false">
      <c r="A62" s="18" t="s">
        <v>1111</v>
      </c>
      <c r="B62" s="18" t="s">
        <v>946</v>
      </c>
      <c r="C62" s="18" t="s">
        <v>1093</v>
      </c>
      <c r="D62" s="18" t="s">
        <v>1108</v>
      </c>
      <c r="E62" s="18" t="s">
        <v>958</v>
      </c>
      <c r="F62" s="18" t="s">
        <v>1099</v>
      </c>
      <c r="G62" s="18" t="s">
        <v>1109</v>
      </c>
      <c r="H62" s="18" t="s">
        <v>972</v>
      </c>
      <c r="I62" s="18" t="s">
        <v>962</v>
      </c>
      <c r="J62" s="18" t="s">
        <v>954</v>
      </c>
      <c r="K62" s="18" t="s">
        <v>955</v>
      </c>
      <c r="L62" s="18" t="s">
        <v>1110</v>
      </c>
      <c r="M62" s="18" t="n">
        <f aca="false">IF(L62="",0,LEN(L62)-LEN(SUBSTITUTE(L62,",",""))+1)</f>
        <v>3</v>
      </c>
    </row>
    <row r="63" customFormat="false" ht="22.35" hidden="false" customHeight="false" outlineLevel="0" collapsed="false">
      <c r="A63" s="18" t="s">
        <v>1112</v>
      </c>
      <c r="B63" s="18" t="s">
        <v>946</v>
      </c>
      <c r="C63" s="18" t="s">
        <v>1093</v>
      </c>
      <c r="D63" s="18" t="s">
        <v>1108</v>
      </c>
      <c r="E63" s="18" t="s">
        <v>1035</v>
      </c>
      <c r="F63" s="18" t="s">
        <v>1102</v>
      </c>
      <c r="G63" s="18" t="s">
        <v>1113</v>
      </c>
      <c r="H63" s="18" t="s">
        <v>972</v>
      </c>
      <c r="I63" s="18" t="s">
        <v>962</v>
      </c>
      <c r="J63" s="18" t="s">
        <v>954</v>
      </c>
      <c r="K63" s="18" t="s">
        <v>963</v>
      </c>
      <c r="L63" s="18" t="s">
        <v>1110</v>
      </c>
      <c r="M63" s="18" t="n">
        <f aca="false">IF(L63="",0,LEN(L63)-LEN(SUBSTITUTE(L63,",",""))+1)</f>
        <v>3</v>
      </c>
    </row>
    <row r="64" customFormat="false" ht="22.35" hidden="false" customHeight="false" outlineLevel="0" collapsed="false">
      <c r="A64" s="18" t="s">
        <v>1114</v>
      </c>
      <c r="B64" s="18" t="s">
        <v>946</v>
      </c>
      <c r="C64" s="18" t="s">
        <v>1093</v>
      </c>
      <c r="D64" s="18" t="s">
        <v>1108</v>
      </c>
      <c r="E64" s="18" t="s">
        <v>1052</v>
      </c>
      <c r="F64" s="18" t="s">
        <v>1105</v>
      </c>
      <c r="G64" s="18" t="s">
        <v>1115</v>
      </c>
      <c r="H64" s="18" t="s">
        <v>972</v>
      </c>
      <c r="I64" s="18" t="s">
        <v>962</v>
      </c>
      <c r="J64" s="18" t="s">
        <v>954</v>
      </c>
      <c r="K64" s="18" t="s">
        <v>963</v>
      </c>
      <c r="L64" s="18" t="s">
        <v>1110</v>
      </c>
      <c r="M64" s="18" t="n">
        <f aca="false">IF(L64="",0,LEN(L64)-LEN(SUBSTITUTE(L64,",",""))+1)</f>
        <v>3</v>
      </c>
    </row>
    <row r="65" customFormat="false" ht="22.35" hidden="false" customHeight="false" outlineLevel="0" collapsed="false">
      <c r="A65" s="18" t="s">
        <v>1116</v>
      </c>
      <c r="B65" s="18" t="s">
        <v>1117</v>
      </c>
      <c r="C65" s="18" t="s">
        <v>1021</v>
      </c>
      <c r="D65" s="18" t="s">
        <v>984</v>
      </c>
      <c r="E65" s="18" t="s">
        <v>965</v>
      </c>
      <c r="F65" s="18" t="s">
        <v>1032</v>
      </c>
      <c r="G65" s="18" t="s">
        <v>1118</v>
      </c>
      <c r="H65" s="18" t="s">
        <v>986</v>
      </c>
      <c r="I65" s="18" t="s">
        <v>962</v>
      </c>
      <c r="J65" s="18" t="s">
        <v>968</v>
      </c>
      <c r="K65" s="18" t="s">
        <v>963</v>
      </c>
      <c r="L65" s="18" t="s">
        <v>987</v>
      </c>
      <c r="M65" s="18" t="n">
        <f aca="false">IF(L65="",0,LEN(L65)-LEN(SUBSTITUTE(L65,",",""))+1)</f>
        <v>3</v>
      </c>
    </row>
  </sheetData>
  <autoFilter ref="A4:M6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07"/>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9"/>
    <col collapsed="false" customWidth="true" hidden="false" outlineLevel="0" max="3" min="3" style="0" width="40"/>
    <col collapsed="false" customWidth="true" hidden="false" outlineLevel="0" max="4" min="4" style="0" width="14"/>
    <col collapsed="false" customWidth="true" hidden="false" outlineLevel="0" max="5" min="5" style="0" width="6"/>
    <col collapsed="false" customWidth="true" hidden="false" outlineLevel="0" max="6" min="6" style="0" width="26"/>
    <col collapsed="false" customWidth="true" hidden="false" outlineLevel="0" max="7" min="7" style="0" width="50"/>
    <col collapsed="false" customWidth="true" hidden="false" outlineLevel="0" max="8" min="8" style="0" width="12"/>
    <col collapsed="false" customWidth="true" hidden="false" outlineLevel="0" max="9" min="9" style="0" width="11"/>
    <col collapsed="false" customWidth="true" hidden="false" outlineLevel="0" max="10" min="10" style="0" width="16"/>
    <col collapsed="false" customWidth="true" hidden="false" outlineLevel="0" max="11" min="11" style="0" width="60"/>
  </cols>
  <sheetData>
    <row r="1" customFormat="false" ht="17.35" hidden="false" customHeight="false" outlineLevel="0" collapsed="false">
      <c r="A1" s="1" t="s">
        <v>1119</v>
      </c>
    </row>
    <row r="2" customFormat="false" ht="15" hidden="false" customHeight="false" outlineLevel="0" collapsed="false">
      <c r="A2" s="2" t="s">
        <v>1120</v>
      </c>
    </row>
    <row r="4" customFormat="false" ht="15" hidden="false" customHeight="false" outlineLevel="0" collapsed="false">
      <c r="A4" s="5" t="s">
        <v>1121</v>
      </c>
      <c r="B4" s="5" t="s">
        <v>23</v>
      </c>
      <c r="C4" s="5" t="s">
        <v>1122</v>
      </c>
      <c r="D4" s="5" t="s">
        <v>1123</v>
      </c>
      <c r="E4" s="5" t="s">
        <v>1124</v>
      </c>
      <c r="F4" s="5" t="s">
        <v>875</v>
      </c>
      <c r="G4" s="5" t="s">
        <v>1125</v>
      </c>
      <c r="H4" s="5" t="s">
        <v>1126</v>
      </c>
      <c r="I4" s="5" t="s">
        <v>1127</v>
      </c>
      <c r="J4" s="5" t="s">
        <v>1128</v>
      </c>
      <c r="K4" s="5" t="s">
        <v>1129</v>
      </c>
    </row>
    <row r="5" customFormat="false" ht="15" hidden="false" customHeight="false" outlineLevel="0" collapsed="false">
      <c r="A5" s="7" t="s">
        <v>33</v>
      </c>
      <c r="B5" s="7" t="s">
        <v>29</v>
      </c>
      <c r="C5" s="7" t="s">
        <v>34</v>
      </c>
      <c r="D5" s="7" t="s">
        <v>1130</v>
      </c>
      <c r="E5" s="7" t="s">
        <v>1131</v>
      </c>
      <c r="F5" s="7" t="s">
        <v>1132</v>
      </c>
      <c r="G5" s="7" t="s">
        <v>1133</v>
      </c>
      <c r="H5" s="7" t="s">
        <v>972</v>
      </c>
      <c r="I5" s="7" t="s">
        <v>1134</v>
      </c>
      <c r="J5" s="7" t="s">
        <v>1135</v>
      </c>
      <c r="K5" s="7" t="s">
        <v>1136</v>
      </c>
    </row>
    <row r="6" customFormat="false" ht="15" hidden="false" customHeight="false" outlineLevel="0" collapsed="false">
      <c r="A6" s="7" t="s">
        <v>33</v>
      </c>
      <c r="B6" s="7" t="s">
        <v>29</v>
      </c>
      <c r="C6" s="7" t="s">
        <v>34</v>
      </c>
      <c r="D6" s="7" t="s">
        <v>1130</v>
      </c>
      <c r="E6" s="7" t="s">
        <v>1131</v>
      </c>
      <c r="F6" s="7" t="s">
        <v>1132</v>
      </c>
      <c r="G6" s="7" t="s">
        <v>1133</v>
      </c>
      <c r="H6" s="7" t="s">
        <v>972</v>
      </c>
      <c r="I6" s="7" t="s">
        <v>1137</v>
      </c>
      <c r="J6" s="7" t="s">
        <v>1135</v>
      </c>
      <c r="K6" s="7" t="s">
        <v>1138</v>
      </c>
    </row>
    <row r="7" customFormat="false" ht="15" hidden="false" customHeight="false" outlineLevel="0" collapsed="false">
      <c r="A7" s="7" t="s">
        <v>33</v>
      </c>
      <c r="B7" s="7" t="s">
        <v>29</v>
      </c>
      <c r="C7" s="7" t="s">
        <v>34</v>
      </c>
      <c r="D7" s="7" t="s">
        <v>1130</v>
      </c>
      <c r="E7" s="7" t="s">
        <v>1131</v>
      </c>
      <c r="F7" s="7" t="s">
        <v>1132</v>
      </c>
      <c r="G7" s="7" t="s">
        <v>1133</v>
      </c>
      <c r="H7" s="7" t="s">
        <v>972</v>
      </c>
      <c r="I7" s="7" t="s">
        <v>1139</v>
      </c>
      <c r="J7" s="7" t="s">
        <v>1135</v>
      </c>
      <c r="K7" s="7" t="s">
        <v>1140</v>
      </c>
    </row>
    <row r="8" customFormat="false" ht="15" hidden="false" customHeight="false" outlineLevel="0" collapsed="false">
      <c r="A8" s="7" t="s">
        <v>33</v>
      </c>
      <c r="B8" s="7" t="s">
        <v>29</v>
      </c>
      <c r="C8" s="7" t="s">
        <v>34</v>
      </c>
      <c r="D8" s="7" t="s">
        <v>1141</v>
      </c>
      <c r="E8" s="7" t="s">
        <v>1131</v>
      </c>
      <c r="F8" s="7" t="s">
        <v>1132</v>
      </c>
      <c r="G8" s="7" t="s">
        <v>1142</v>
      </c>
      <c r="H8" s="7" t="s">
        <v>972</v>
      </c>
      <c r="I8" s="7" t="s">
        <v>1134</v>
      </c>
      <c r="J8" s="7" t="s">
        <v>1135</v>
      </c>
      <c r="K8" s="7" t="s">
        <v>1136</v>
      </c>
    </row>
    <row r="9" customFormat="false" ht="15" hidden="false" customHeight="false" outlineLevel="0" collapsed="false">
      <c r="A9" s="7" t="s">
        <v>33</v>
      </c>
      <c r="B9" s="7" t="s">
        <v>29</v>
      </c>
      <c r="C9" s="7" t="s">
        <v>34</v>
      </c>
      <c r="D9" s="7" t="s">
        <v>1141</v>
      </c>
      <c r="E9" s="7" t="s">
        <v>1131</v>
      </c>
      <c r="F9" s="7" t="s">
        <v>1132</v>
      </c>
      <c r="G9" s="7" t="s">
        <v>1142</v>
      </c>
      <c r="H9" s="7" t="s">
        <v>972</v>
      </c>
      <c r="I9" s="7" t="s">
        <v>1137</v>
      </c>
      <c r="J9" s="7" t="s">
        <v>1135</v>
      </c>
      <c r="K9" s="7" t="s">
        <v>1138</v>
      </c>
    </row>
    <row r="10" customFormat="false" ht="15" hidden="false" customHeight="false" outlineLevel="0" collapsed="false">
      <c r="A10" s="7" t="s">
        <v>33</v>
      </c>
      <c r="B10" s="7" t="s">
        <v>29</v>
      </c>
      <c r="C10" s="7" t="s">
        <v>34</v>
      </c>
      <c r="D10" s="7" t="s">
        <v>1141</v>
      </c>
      <c r="E10" s="7" t="s">
        <v>1131</v>
      </c>
      <c r="F10" s="7" t="s">
        <v>1132</v>
      </c>
      <c r="G10" s="7" t="s">
        <v>1142</v>
      </c>
      <c r="H10" s="7" t="s">
        <v>972</v>
      </c>
      <c r="I10" s="7" t="s">
        <v>1139</v>
      </c>
      <c r="J10" s="7" t="s">
        <v>1135</v>
      </c>
      <c r="K10" s="7" t="s">
        <v>1140</v>
      </c>
    </row>
    <row r="11" customFormat="false" ht="15" hidden="false" customHeight="false" outlineLevel="0" collapsed="false">
      <c r="A11" s="7" t="s">
        <v>33</v>
      </c>
      <c r="B11" s="7" t="s">
        <v>29</v>
      </c>
      <c r="C11" s="7" t="s">
        <v>34</v>
      </c>
      <c r="D11" s="7" t="s">
        <v>1143</v>
      </c>
      <c r="E11" s="7" t="s">
        <v>1131</v>
      </c>
      <c r="F11" s="7" t="s">
        <v>1144</v>
      </c>
      <c r="G11" s="7" t="s">
        <v>1145</v>
      </c>
      <c r="H11" s="7" t="s">
        <v>972</v>
      </c>
      <c r="I11" s="7" t="s">
        <v>1134</v>
      </c>
      <c r="J11" s="7" t="s">
        <v>1135</v>
      </c>
      <c r="K11" s="7" t="s">
        <v>1136</v>
      </c>
    </row>
    <row r="12" customFormat="false" ht="15" hidden="false" customHeight="false" outlineLevel="0" collapsed="false">
      <c r="A12" s="7" t="s">
        <v>33</v>
      </c>
      <c r="B12" s="7" t="s">
        <v>29</v>
      </c>
      <c r="C12" s="7" t="s">
        <v>34</v>
      </c>
      <c r="D12" s="7" t="s">
        <v>1143</v>
      </c>
      <c r="E12" s="7" t="s">
        <v>1131</v>
      </c>
      <c r="F12" s="7" t="s">
        <v>1144</v>
      </c>
      <c r="G12" s="7" t="s">
        <v>1145</v>
      </c>
      <c r="H12" s="7" t="s">
        <v>972</v>
      </c>
      <c r="I12" s="7" t="s">
        <v>1137</v>
      </c>
      <c r="J12" s="7" t="s">
        <v>1135</v>
      </c>
      <c r="K12" s="7" t="s">
        <v>1138</v>
      </c>
    </row>
    <row r="13" customFormat="false" ht="15" hidden="false" customHeight="false" outlineLevel="0" collapsed="false">
      <c r="A13" s="7" t="s">
        <v>33</v>
      </c>
      <c r="B13" s="7" t="s">
        <v>29</v>
      </c>
      <c r="C13" s="7" t="s">
        <v>34</v>
      </c>
      <c r="D13" s="7" t="s">
        <v>1143</v>
      </c>
      <c r="E13" s="7" t="s">
        <v>1131</v>
      </c>
      <c r="F13" s="7" t="s">
        <v>1144</v>
      </c>
      <c r="G13" s="7" t="s">
        <v>1145</v>
      </c>
      <c r="H13" s="7" t="s">
        <v>972</v>
      </c>
      <c r="I13" s="7" t="s">
        <v>1139</v>
      </c>
      <c r="J13" s="7" t="s">
        <v>1135</v>
      </c>
      <c r="K13" s="7" t="s">
        <v>1140</v>
      </c>
    </row>
    <row r="14" customFormat="false" ht="22.35" hidden="false" customHeight="false" outlineLevel="0" collapsed="false">
      <c r="A14" s="7" t="s">
        <v>33</v>
      </c>
      <c r="B14" s="7" t="s">
        <v>29</v>
      </c>
      <c r="C14" s="7" t="s">
        <v>34</v>
      </c>
      <c r="D14" s="7" t="s">
        <v>1146</v>
      </c>
      <c r="E14" s="7" t="s">
        <v>1131</v>
      </c>
      <c r="F14" s="7" t="s">
        <v>1144</v>
      </c>
      <c r="G14" s="7" t="s">
        <v>1147</v>
      </c>
      <c r="H14" s="7" t="s">
        <v>972</v>
      </c>
      <c r="I14" s="7" t="s">
        <v>1148</v>
      </c>
      <c r="J14" s="7" t="s">
        <v>1135</v>
      </c>
      <c r="K14" s="7" t="s">
        <v>1149</v>
      </c>
    </row>
    <row r="15" customFormat="false" ht="15" hidden="false" customHeight="false" outlineLevel="0" collapsed="false">
      <c r="A15" s="7" t="s">
        <v>33</v>
      </c>
      <c r="B15" s="7" t="s">
        <v>29</v>
      </c>
      <c r="C15" s="7" t="s">
        <v>34</v>
      </c>
      <c r="D15" s="7" t="s">
        <v>1146</v>
      </c>
      <c r="E15" s="7" t="s">
        <v>1131</v>
      </c>
      <c r="F15" s="7" t="s">
        <v>1144</v>
      </c>
      <c r="G15" s="7" t="s">
        <v>1147</v>
      </c>
      <c r="H15" s="7" t="s">
        <v>972</v>
      </c>
      <c r="I15" s="7" t="s">
        <v>1150</v>
      </c>
      <c r="J15" s="7" t="s">
        <v>1135</v>
      </c>
      <c r="K15" s="7" t="s">
        <v>1151</v>
      </c>
    </row>
    <row r="16" customFormat="false" ht="22.35" hidden="false" customHeight="false" outlineLevel="0" collapsed="false">
      <c r="A16" s="7" t="s">
        <v>33</v>
      </c>
      <c r="B16" s="7" t="s">
        <v>29</v>
      </c>
      <c r="C16" s="7" t="s">
        <v>34</v>
      </c>
      <c r="D16" s="7" t="s">
        <v>1152</v>
      </c>
      <c r="E16" s="7" t="s">
        <v>1153</v>
      </c>
      <c r="F16" s="7" t="s">
        <v>1154</v>
      </c>
      <c r="G16" s="7" t="s">
        <v>1155</v>
      </c>
      <c r="H16" s="7" t="s">
        <v>1156</v>
      </c>
      <c r="I16" s="7" t="s">
        <v>1157</v>
      </c>
      <c r="J16" s="7" t="s">
        <v>1135</v>
      </c>
      <c r="K16" s="7" t="s">
        <v>1158</v>
      </c>
    </row>
    <row r="17" customFormat="false" ht="22.35" hidden="false" customHeight="false" outlineLevel="0" collapsed="false">
      <c r="A17" s="7" t="s">
        <v>33</v>
      </c>
      <c r="B17" s="7" t="s">
        <v>29</v>
      </c>
      <c r="C17" s="7" t="s">
        <v>34</v>
      </c>
      <c r="D17" s="7" t="s">
        <v>1152</v>
      </c>
      <c r="E17" s="7" t="s">
        <v>1153</v>
      </c>
      <c r="F17" s="7" t="s">
        <v>1154</v>
      </c>
      <c r="G17" s="7" t="s">
        <v>1155</v>
      </c>
      <c r="H17" s="7" t="s">
        <v>1156</v>
      </c>
      <c r="I17" s="7" t="s">
        <v>1159</v>
      </c>
      <c r="J17" s="7" t="s">
        <v>1160</v>
      </c>
      <c r="K17" s="7" t="s">
        <v>1161</v>
      </c>
    </row>
    <row r="18" customFormat="false" ht="22.35" hidden="false" customHeight="false" outlineLevel="0" collapsed="false">
      <c r="A18" s="7" t="s">
        <v>33</v>
      </c>
      <c r="B18" s="7" t="s">
        <v>29</v>
      </c>
      <c r="C18" s="7" t="s">
        <v>34</v>
      </c>
      <c r="D18" s="7" t="s">
        <v>1162</v>
      </c>
      <c r="E18" s="7" t="s">
        <v>1153</v>
      </c>
      <c r="F18" s="7" t="s">
        <v>1154</v>
      </c>
      <c r="G18" s="7" t="s">
        <v>1163</v>
      </c>
      <c r="H18" s="7" t="s">
        <v>1156</v>
      </c>
      <c r="I18" s="7" t="s">
        <v>1164</v>
      </c>
      <c r="J18" s="7" t="s">
        <v>1165</v>
      </c>
      <c r="K18" s="7" t="s">
        <v>1166</v>
      </c>
    </row>
    <row r="19" customFormat="false" ht="22.35" hidden="false" customHeight="false" outlineLevel="0" collapsed="false">
      <c r="A19" s="7" t="s">
        <v>33</v>
      </c>
      <c r="B19" s="7" t="s">
        <v>29</v>
      </c>
      <c r="C19" s="7" t="s">
        <v>34</v>
      </c>
      <c r="D19" s="7" t="s">
        <v>1162</v>
      </c>
      <c r="E19" s="7" t="s">
        <v>1153</v>
      </c>
      <c r="F19" s="7" t="s">
        <v>1154</v>
      </c>
      <c r="G19" s="7" t="s">
        <v>1163</v>
      </c>
      <c r="H19" s="7" t="s">
        <v>1156</v>
      </c>
      <c r="I19" s="7" t="s">
        <v>1157</v>
      </c>
      <c r="J19" s="7" t="s">
        <v>1135</v>
      </c>
      <c r="K19" s="7" t="s">
        <v>1158</v>
      </c>
    </row>
    <row r="20" customFormat="false" ht="15" hidden="false" customHeight="false" outlineLevel="0" collapsed="false">
      <c r="A20" s="7" t="s">
        <v>38</v>
      </c>
      <c r="B20" s="7" t="s">
        <v>29</v>
      </c>
      <c r="C20" s="7" t="s">
        <v>39</v>
      </c>
      <c r="D20" s="7" t="s">
        <v>1167</v>
      </c>
      <c r="E20" s="7" t="s">
        <v>1168</v>
      </c>
      <c r="F20" s="7" t="s">
        <v>1169</v>
      </c>
      <c r="G20" s="7" t="s">
        <v>1170</v>
      </c>
      <c r="H20" s="7" t="s">
        <v>235</v>
      </c>
      <c r="I20" s="7" t="s">
        <v>1171</v>
      </c>
      <c r="J20" s="7" t="s">
        <v>1135</v>
      </c>
      <c r="K20" s="7" t="s">
        <v>1172</v>
      </c>
    </row>
    <row r="21" customFormat="false" ht="15" hidden="false" customHeight="false" outlineLevel="0" collapsed="false">
      <c r="A21" s="7" t="s">
        <v>38</v>
      </c>
      <c r="B21" s="7" t="s">
        <v>29</v>
      </c>
      <c r="C21" s="7" t="s">
        <v>39</v>
      </c>
      <c r="D21" s="7" t="s">
        <v>1167</v>
      </c>
      <c r="E21" s="7" t="s">
        <v>1168</v>
      </c>
      <c r="F21" s="7" t="s">
        <v>1169</v>
      </c>
      <c r="G21" s="7" t="s">
        <v>1170</v>
      </c>
      <c r="H21" s="7" t="s">
        <v>235</v>
      </c>
      <c r="I21" s="7" t="s">
        <v>1173</v>
      </c>
      <c r="J21" s="7" t="s">
        <v>1135</v>
      </c>
      <c r="K21" s="7" t="s">
        <v>1174</v>
      </c>
    </row>
    <row r="22" customFormat="false" ht="15" hidden="false" customHeight="false" outlineLevel="0" collapsed="false">
      <c r="A22" s="7" t="s">
        <v>38</v>
      </c>
      <c r="B22" s="7" t="s">
        <v>29</v>
      </c>
      <c r="C22" s="7" t="s">
        <v>39</v>
      </c>
      <c r="D22" s="7" t="s">
        <v>1167</v>
      </c>
      <c r="E22" s="7" t="s">
        <v>1168</v>
      </c>
      <c r="F22" s="7" t="s">
        <v>1169</v>
      </c>
      <c r="G22" s="7" t="s">
        <v>1170</v>
      </c>
      <c r="H22" s="7" t="s">
        <v>235</v>
      </c>
      <c r="I22" s="7" t="s">
        <v>1175</v>
      </c>
      <c r="J22" s="7" t="s">
        <v>1135</v>
      </c>
      <c r="K22" s="7" t="s">
        <v>1176</v>
      </c>
    </row>
    <row r="23" customFormat="false" ht="15" hidden="false" customHeight="false" outlineLevel="0" collapsed="false">
      <c r="A23" s="7" t="s">
        <v>38</v>
      </c>
      <c r="B23" s="7" t="s">
        <v>29</v>
      </c>
      <c r="C23" s="7" t="s">
        <v>39</v>
      </c>
      <c r="D23" s="7" t="s">
        <v>1167</v>
      </c>
      <c r="E23" s="7" t="s">
        <v>1168</v>
      </c>
      <c r="F23" s="7" t="s">
        <v>1169</v>
      </c>
      <c r="G23" s="7" t="s">
        <v>1170</v>
      </c>
      <c r="H23" s="7" t="s">
        <v>235</v>
      </c>
      <c r="I23" s="7" t="s">
        <v>1177</v>
      </c>
      <c r="J23" s="7" t="s">
        <v>1165</v>
      </c>
      <c r="K23" s="7" t="s">
        <v>1178</v>
      </c>
    </row>
    <row r="24" customFormat="false" ht="15" hidden="false" customHeight="false" outlineLevel="0" collapsed="false">
      <c r="A24" s="7" t="s">
        <v>38</v>
      </c>
      <c r="B24" s="7" t="s">
        <v>29</v>
      </c>
      <c r="C24" s="7" t="s">
        <v>39</v>
      </c>
      <c r="D24" s="7" t="s">
        <v>1167</v>
      </c>
      <c r="E24" s="7" t="s">
        <v>1168</v>
      </c>
      <c r="F24" s="7" t="s">
        <v>1169</v>
      </c>
      <c r="G24" s="7" t="s">
        <v>1170</v>
      </c>
      <c r="H24" s="7" t="s">
        <v>235</v>
      </c>
      <c r="I24" s="7" t="s">
        <v>1179</v>
      </c>
      <c r="J24" s="7" t="s">
        <v>1165</v>
      </c>
      <c r="K24" s="7" t="s">
        <v>1180</v>
      </c>
    </row>
    <row r="25" customFormat="false" ht="22.35" hidden="false" customHeight="false" outlineLevel="0" collapsed="false">
      <c r="A25" s="7" t="s">
        <v>38</v>
      </c>
      <c r="B25" s="7" t="s">
        <v>29</v>
      </c>
      <c r="C25" s="7" t="s">
        <v>39</v>
      </c>
      <c r="D25" s="7" t="s">
        <v>1167</v>
      </c>
      <c r="E25" s="7" t="s">
        <v>1168</v>
      </c>
      <c r="F25" s="7" t="s">
        <v>1169</v>
      </c>
      <c r="G25" s="7" t="s">
        <v>1170</v>
      </c>
      <c r="H25" s="7" t="s">
        <v>235</v>
      </c>
      <c r="I25" s="7" t="s">
        <v>1157</v>
      </c>
      <c r="J25" s="7" t="s">
        <v>1135</v>
      </c>
      <c r="K25" s="7" t="s">
        <v>1158</v>
      </c>
    </row>
    <row r="26" customFormat="false" ht="15" hidden="false" customHeight="false" outlineLevel="0" collapsed="false">
      <c r="A26" s="7" t="s">
        <v>38</v>
      </c>
      <c r="B26" s="7" t="s">
        <v>29</v>
      </c>
      <c r="C26" s="7" t="s">
        <v>39</v>
      </c>
      <c r="D26" s="7" t="s">
        <v>1181</v>
      </c>
      <c r="E26" s="7" t="s">
        <v>1168</v>
      </c>
      <c r="F26" s="7" t="s">
        <v>1169</v>
      </c>
      <c r="G26" s="7" t="s">
        <v>1182</v>
      </c>
      <c r="H26" s="7" t="s">
        <v>235</v>
      </c>
      <c r="I26" s="7" t="s">
        <v>1171</v>
      </c>
      <c r="J26" s="7" t="s">
        <v>1135</v>
      </c>
      <c r="K26" s="7" t="s">
        <v>1172</v>
      </c>
    </row>
    <row r="27" customFormat="false" ht="15" hidden="false" customHeight="false" outlineLevel="0" collapsed="false">
      <c r="A27" s="7" t="s">
        <v>38</v>
      </c>
      <c r="B27" s="7" t="s">
        <v>29</v>
      </c>
      <c r="C27" s="7" t="s">
        <v>39</v>
      </c>
      <c r="D27" s="7" t="s">
        <v>1181</v>
      </c>
      <c r="E27" s="7" t="s">
        <v>1168</v>
      </c>
      <c r="F27" s="7" t="s">
        <v>1169</v>
      </c>
      <c r="G27" s="7" t="s">
        <v>1182</v>
      </c>
      <c r="H27" s="7" t="s">
        <v>235</v>
      </c>
      <c r="I27" s="7" t="s">
        <v>1173</v>
      </c>
      <c r="J27" s="7" t="s">
        <v>1135</v>
      </c>
      <c r="K27" s="7" t="s">
        <v>1174</v>
      </c>
    </row>
    <row r="28" customFormat="false" ht="15" hidden="false" customHeight="false" outlineLevel="0" collapsed="false">
      <c r="A28" s="7" t="s">
        <v>38</v>
      </c>
      <c r="B28" s="7" t="s">
        <v>29</v>
      </c>
      <c r="C28" s="7" t="s">
        <v>39</v>
      </c>
      <c r="D28" s="7" t="s">
        <v>1181</v>
      </c>
      <c r="E28" s="7" t="s">
        <v>1168</v>
      </c>
      <c r="F28" s="7" t="s">
        <v>1169</v>
      </c>
      <c r="G28" s="7" t="s">
        <v>1182</v>
      </c>
      <c r="H28" s="7" t="s">
        <v>235</v>
      </c>
      <c r="I28" s="7" t="s">
        <v>1175</v>
      </c>
      <c r="J28" s="7" t="s">
        <v>1135</v>
      </c>
      <c r="K28" s="7" t="s">
        <v>1176</v>
      </c>
    </row>
    <row r="29" customFormat="false" ht="15" hidden="false" customHeight="false" outlineLevel="0" collapsed="false">
      <c r="A29" s="7" t="s">
        <v>38</v>
      </c>
      <c r="B29" s="7" t="s">
        <v>29</v>
      </c>
      <c r="C29" s="7" t="s">
        <v>39</v>
      </c>
      <c r="D29" s="7" t="s">
        <v>1181</v>
      </c>
      <c r="E29" s="7" t="s">
        <v>1168</v>
      </c>
      <c r="F29" s="7" t="s">
        <v>1169</v>
      </c>
      <c r="G29" s="7" t="s">
        <v>1182</v>
      </c>
      <c r="H29" s="7" t="s">
        <v>235</v>
      </c>
      <c r="I29" s="7" t="s">
        <v>1177</v>
      </c>
      <c r="J29" s="7" t="s">
        <v>1165</v>
      </c>
      <c r="K29" s="7" t="s">
        <v>1178</v>
      </c>
    </row>
    <row r="30" customFormat="false" ht="15" hidden="false" customHeight="false" outlineLevel="0" collapsed="false">
      <c r="A30" s="7" t="s">
        <v>38</v>
      </c>
      <c r="B30" s="7" t="s">
        <v>29</v>
      </c>
      <c r="C30" s="7" t="s">
        <v>39</v>
      </c>
      <c r="D30" s="7" t="s">
        <v>1181</v>
      </c>
      <c r="E30" s="7" t="s">
        <v>1168</v>
      </c>
      <c r="F30" s="7" t="s">
        <v>1169</v>
      </c>
      <c r="G30" s="7" t="s">
        <v>1182</v>
      </c>
      <c r="H30" s="7" t="s">
        <v>235</v>
      </c>
      <c r="I30" s="7" t="s">
        <v>1179</v>
      </c>
      <c r="J30" s="7" t="s">
        <v>1165</v>
      </c>
      <c r="K30" s="7" t="s">
        <v>1180</v>
      </c>
    </row>
    <row r="31" customFormat="false" ht="22.35" hidden="false" customHeight="false" outlineLevel="0" collapsed="false">
      <c r="A31" s="7" t="s">
        <v>38</v>
      </c>
      <c r="B31" s="7" t="s">
        <v>29</v>
      </c>
      <c r="C31" s="7" t="s">
        <v>39</v>
      </c>
      <c r="D31" s="7" t="s">
        <v>1181</v>
      </c>
      <c r="E31" s="7" t="s">
        <v>1168</v>
      </c>
      <c r="F31" s="7" t="s">
        <v>1169</v>
      </c>
      <c r="G31" s="7" t="s">
        <v>1182</v>
      </c>
      <c r="H31" s="7" t="s">
        <v>235</v>
      </c>
      <c r="I31" s="7" t="s">
        <v>1157</v>
      </c>
      <c r="J31" s="7" t="s">
        <v>1135</v>
      </c>
      <c r="K31" s="7" t="s">
        <v>1158</v>
      </c>
    </row>
    <row r="32" customFormat="false" ht="15" hidden="false" customHeight="false" outlineLevel="0" collapsed="false">
      <c r="A32" s="7" t="s">
        <v>38</v>
      </c>
      <c r="B32" s="7" t="s">
        <v>29</v>
      </c>
      <c r="C32" s="7" t="s">
        <v>39</v>
      </c>
      <c r="D32" s="7" t="s">
        <v>1183</v>
      </c>
      <c r="E32" s="7" t="s">
        <v>1168</v>
      </c>
      <c r="F32" s="7" t="s">
        <v>1169</v>
      </c>
      <c r="G32" s="7" t="s">
        <v>1184</v>
      </c>
      <c r="H32" s="7" t="s">
        <v>235</v>
      </c>
      <c r="I32" s="7" t="s">
        <v>1171</v>
      </c>
      <c r="J32" s="7" t="s">
        <v>1135</v>
      </c>
      <c r="K32" s="7" t="s">
        <v>1172</v>
      </c>
    </row>
    <row r="33" customFormat="false" ht="15" hidden="false" customHeight="false" outlineLevel="0" collapsed="false">
      <c r="A33" s="7" t="s">
        <v>38</v>
      </c>
      <c r="B33" s="7" t="s">
        <v>29</v>
      </c>
      <c r="C33" s="7" t="s">
        <v>39</v>
      </c>
      <c r="D33" s="7" t="s">
        <v>1183</v>
      </c>
      <c r="E33" s="7" t="s">
        <v>1168</v>
      </c>
      <c r="F33" s="7" t="s">
        <v>1169</v>
      </c>
      <c r="G33" s="7" t="s">
        <v>1184</v>
      </c>
      <c r="H33" s="7" t="s">
        <v>235</v>
      </c>
      <c r="I33" s="7" t="s">
        <v>1173</v>
      </c>
      <c r="J33" s="7" t="s">
        <v>1135</v>
      </c>
      <c r="K33" s="7" t="s">
        <v>1174</v>
      </c>
    </row>
    <row r="34" customFormat="false" ht="15" hidden="false" customHeight="false" outlineLevel="0" collapsed="false">
      <c r="A34" s="7" t="s">
        <v>38</v>
      </c>
      <c r="B34" s="7" t="s">
        <v>29</v>
      </c>
      <c r="C34" s="7" t="s">
        <v>39</v>
      </c>
      <c r="D34" s="7" t="s">
        <v>1183</v>
      </c>
      <c r="E34" s="7" t="s">
        <v>1168</v>
      </c>
      <c r="F34" s="7" t="s">
        <v>1169</v>
      </c>
      <c r="G34" s="7" t="s">
        <v>1184</v>
      </c>
      <c r="H34" s="7" t="s">
        <v>235</v>
      </c>
      <c r="I34" s="7" t="s">
        <v>1175</v>
      </c>
      <c r="J34" s="7" t="s">
        <v>1135</v>
      </c>
      <c r="K34" s="7" t="s">
        <v>1176</v>
      </c>
    </row>
    <row r="35" customFormat="false" ht="15" hidden="false" customHeight="false" outlineLevel="0" collapsed="false">
      <c r="A35" s="7" t="s">
        <v>38</v>
      </c>
      <c r="B35" s="7" t="s">
        <v>29</v>
      </c>
      <c r="C35" s="7" t="s">
        <v>39</v>
      </c>
      <c r="D35" s="7" t="s">
        <v>1183</v>
      </c>
      <c r="E35" s="7" t="s">
        <v>1168</v>
      </c>
      <c r="F35" s="7" t="s">
        <v>1169</v>
      </c>
      <c r="G35" s="7" t="s">
        <v>1184</v>
      </c>
      <c r="H35" s="7" t="s">
        <v>235</v>
      </c>
      <c r="I35" s="7" t="s">
        <v>1177</v>
      </c>
      <c r="J35" s="7" t="s">
        <v>1165</v>
      </c>
      <c r="K35" s="7" t="s">
        <v>1178</v>
      </c>
    </row>
    <row r="36" customFormat="false" ht="15" hidden="false" customHeight="false" outlineLevel="0" collapsed="false">
      <c r="A36" s="7" t="s">
        <v>38</v>
      </c>
      <c r="B36" s="7" t="s">
        <v>29</v>
      </c>
      <c r="C36" s="7" t="s">
        <v>39</v>
      </c>
      <c r="D36" s="7" t="s">
        <v>1183</v>
      </c>
      <c r="E36" s="7" t="s">
        <v>1168</v>
      </c>
      <c r="F36" s="7" t="s">
        <v>1169</v>
      </c>
      <c r="G36" s="7" t="s">
        <v>1184</v>
      </c>
      <c r="H36" s="7" t="s">
        <v>235</v>
      </c>
      <c r="I36" s="7" t="s">
        <v>1179</v>
      </c>
      <c r="J36" s="7" t="s">
        <v>1165</v>
      </c>
      <c r="K36" s="7" t="s">
        <v>1180</v>
      </c>
    </row>
    <row r="37" customFormat="false" ht="15" hidden="false" customHeight="false" outlineLevel="0" collapsed="false">
      <c r="A37" s="7" t="s">
        <v>38</v>
      </c>
      <c r="B37" s="7" t="s">
        <v>29</v>
      </c>
      <c r="C37" s="7" t="s">
        <v>39</v>
      </c>
      <c r="D37" s="7" t="s">
        <v>1185</v>
      </c>
      <c r="E37" s="7" t="s">
        <v>1168</v>
      </c>
      <c r="F37" s="7" t="s">
        <v>1169</v>
      </c>
      <c r="G37" s="7" t="s">
        <v>1186</v>
      </c>
      <c r="H37" s="7" t="s">
        <v>235</v>
      </c>
      <c r="I37" s="7" t="s">
        <v>1171</v>
      </c>
      <c r="J37" s="7" t="s">
        <v>1135</v>
      </c>
      <c r="K37" s="7" t="s">
        <v>1172</v>
      </c>
    </row>
    <row r="38" customFormat="false" ht="15" hidden="false" customHeight="false" outlineLevel="0" collapsed="false">
      <c r="A38" s="7" t="s">
        <v>38</v>
      </c>
      <c r="B38" s="7" t="s">
        <v>29</v>
      </c>
      <c r="C38" s="7" t="s">
        <v>39</v>
      </c>
      <c r="D38" s="7" t="s">
        <v>1185</v>
      </c>
      <c r="E38" s="7" t="s">
        <v>1168</v>
      </c>
      <c r="F38" s="7" t="s">
        <v>1169</v>
      </c>
      <c r="G38" s="7" t="s">
        <v>1186</v>
      </c>
      <c r="H38" s="7" t="s">
        <v>235</v>
      </c>
      <c r="I38" s="7" t="s">
        <v>1173</v>
      </c>
      <c r="J38" s="7" t="s">
        <v>1135</v>
      </c>
      <c r="K38" s="7" t="s">
        <v>1174</v>
      </c>
    </row>
    <row r="39" customFormat="false" ht="15" hidden="false" customHeight="false" outlineLevel="0" collapsed="false">
      <c r="A39" s="7" t="s">
        <v>38</v>
      </c>
      <c r="B39" s="7" t="s">
        <v>29</v>
      </c>
      <c r="C39" s="7" t="s">
        <v>39</v>
      </c>
      <c r="D39" s="7" t="s">
        <v>1185</v>
      </c>
      <c r="E39" s="7" t="s">
        <v>1168</v>
      </c>
      <c r="F39" s="7" t="s">
        <v>1169</v>
      </c>
      <c r="G39" s="7" t="s">
        <v>1186</v>
      </c>
      <c r="H39" s="7" t="s">
        <v>235</v>
      </c>
      <c r="I39" s="7" t="s">
        <v>1175</v>
      </c>
      <c r="J39" s="7" t="s">
        <v>1135</v>
      </c>
      <c r="K39" s="7" t="s">
        <v>1176</v>
      </c>
    </row>
    <row r="40" customFormat="false" ht="15" hidden="false" customHeight="false" outlineLevel="0" collapsed="false">
      <c r="A40" s="7" t="s">
        <v>38</v>
      </c>
      <c r="B40" s="7" t="s">
        <v>29</v>
      </c>
      <c r="C40" s="7" t="s">
        <v>39</v>
      </c>
      <c r="D40" s="7" t="s">
        <v>1185</v>
      </c>
      <c r="E40" s="7" t="s">
        <v>1168</v>
      </c>
      <c r="F40" s="7" t="s">
        <v>1169</v>
      </c>
      <c r="G40" s="7" t="s">
        <v>1186</v>
      </c>
      <c r="H40" s="7" t="s">
        <v>235</v>
      </c>
      <c r="I40" s="7" t="s">
        <v>1177</v>
      </c>
      <c r="J40" s="7" t="s">
        <v>1165</v>
      </c>
      <c r="K40" s="7" t="s">
        <v>1178</v>
      </c>
    </row>
    <row r="41" customFormat="false" ht="15" hidden="false" customHeight="false" outlineLevel="0" collapsed="false">
      <c r="A41" s="7" t="s">
        <v>38</v>
      </c>
      <c r="B41" s="7" t="s">
        <v>29</v>
      </c>
      <c r="C41" s="7" t="s">
        <v>39</v>
      </c>
      <c r="D41" s="7" t="s">
        <v>1185</v>
      </c>
      <c r="E41" s="7" t="s">
        <v>1168</v>
      </c>
      <c r="F41" s="7" t="s">
        <v>1169</v>
      </c>
      <c r="G41" s="7" t="s">
        <v>1186</v>
      </c>
      <c r="H41" s="7" t="s">
        <v>235</v>
      </c>
      <c r="I41" s="7" t="s">
        <v>1179</v>
      </c>
      <c r="J41" s="7" t="s">
        <v>1165</v>
      </c>
      <c r="K41" s="7" t="s">
        <v>1180</v>
      </c>
    </row>
    <row r="42" customFormat="false" ht="15" hidden="false" customHeight="false" outlineLevel="0" collapsed="false">
      <c r="A42" s="7" t="s">
        <v>38</v>
      </c>
      <c r="B42" s="7" t="s">
        <v>29</v>
      </c>
      <c r="C42" s="7" t="s">
        <v>39</v>
      </c>
      <c r="D42" s="7" t="s">
        <v>1185</v>
      </c>
      <c r="E42" s="7" t="s">
        <v>1168</v>
      </c>
      <c r="F42" s="7" t="s">
        <v>1169</v>
      </c>
      <c r="G42" s="7" t="s">
        <v>1186</v>
      </c>
      <c r="H42" s="7" t="s">
        <v>235</v>
      </c>
      <c r="I42" s="7" t="s">
        <v>1187</v>
      </c>
      <c r="J42" s="7" t="s">
        <v>1135</v>
      </c>
      <c r="K42" s="7" t="s">
        <v>1188</v>
      </c>
    </row>
    <row r="43" customFormat="false" ht="15" hidden="false" customHeight="false" outlineLevel="0" collapsed="false">
      <c r="A43" s="7" t="s">
        <v>38</v>
      </c>
      <c r="B43" s="7" t="s">
        <v>29</v>
      </c>
      <c r="C43" s="7" t="s">
        <v>39</v>
      </c>
      <c r="D43" s="7" t="s">
        <v>1189</v>
      </c>
      <c r="E43" s="7" t="s">
        <v>1168</v>
      </c>
      <c r="F43" s="7" t="s">
        <v>1169</v>
      </c>
      <c r="G43" s="7" t="s">
        <v>1190</v>
      </c>
      <c r="H43" s="7" t="s">
        <v>235</v>
      </c>
      <c r="I43" s="7" t="s">
        <v>1171</v>
      </c>
      <c r="J43" s="7" t="s">
        <v>1135</v>
      </c>
      <c r="K43" s="7" t="s">
        <v>1172</v>
      </c>
    </row>
    <row r="44" customFormat="false" ht="15" hidden="false" customHeight="false" outlineLevel="0" collapsed="false">
      <c r="A44" s="7" t="s">
        <v>38</v>
      </c>
      <c r="B44" s="7" t="s">
        <v>29</v>
      </c>
      <c r="C44" s="7" t="s">
        <v>39</v>
      </c>
      <c r="D44" s="7" t="s">
        <v>1189</v>
      </c>
      <c r="E44" s="7" t="s">
        <v>1168</v>
      </c>
      <c r="F44" s="7" t="s">
        <v>1169</v>
      </c>
      <c r="G44" s="7" t="s">
        <v>1190</v>
      </c>
      <c r="H44" s="7" t="s">
        <v>235</v>
      </c>
      <c r="I44" s="7" t="s">
        <v>1173</v>
      </c>
      <c r="J44" s="7" t="s">
        <v>1135</v>
      </c>
      <c r="K44" s="7" t="s">
        <v>1174</v>
      </c>
    </row>
    <row r="45" customFormat="false" ht="15" hidden="false" customHeight="false" outlineLevel="0" collapsed="false">
      <c r="A45" s="7" t="s">
        <v>38</v>
      </c>
      <c r="B45" s="7" t="s">
        <v>29</v>
      </c>
      <c r="C45" s="7" t="s">
        <v>39</v>
      </c>
      <c r="D45" s="7" t="s">
        <v>1189</v>
      </c>
      <c r="E45" s="7" t="s">
        <v>1168</v>
      </c>
      <c r="F45" s="7" t="s">
        <v>1169</v>
      </c>
      <c r="G45" s="7" t="s">
        <v>1190</v>
      </c>
      <c r="H45" s="7" t="s">
        <v>235</v>
      </c>
      <c r="I45" s="7" t="s">
        <v>1175</v>
      </c>
      <c r="J45" s="7" t="s">
        <v>1135</v>
      </c>
      <c r="K45" s="7" t="s">
        <v>1176</v>
      </c>
    </row>
    <row r="46" customFormat="false" ht="15" hidden="false" customHeight="false" outlineLevel="0" collapsed="false">
      <c r="A46" s="7" t="s">
        <v>38</v>
      </c>
      <c r="B46" s="7" t="s">
        <v>29</v>
      </c>
      <c r="C46" s="7" t="s">
        <v>39</v>
      </c>
      <c r="D46" s="7" t="s">
        <v>1189</v>
      </c>
      <c r="E46" s="7" t="s">
        <v>1168</v>
      </c>
      <c r="F46" s="7" t="s">
        <v>1169</v>
      </c>
      <c r="G46" s="7" t="s">
        <v>1190</v>
      </c>
      <c r="H46" s="7" t="s">
        <v>235</v>
      </c>
      <c r="I46" s="7" t="s">
        <v>1177</v>
      </c>
      <c r="J46" s="7" t="s">
        <v>1165</v>
      </c>
      <c r="K46" s="7" t="s">
        <v>1178</v>
      </c>
    </row>
    <row r="47" customFormat="false" ht="15" hidden="false" customHeight="false" outlineLevel="0" collapsed="false">
      <c r="A47" s="7" t="s">
        <v>38</v>
      </c>
      <c r="B47" s="7" t="s">
        <v>29</v>
      </c>
      <c r="C47" s="7" t="s">
        <v>39</v>
      </c>
      <c r="D47" s="7" t="s">
        <v>1189</v>
      </c>
      <c r="E47" s="7" t="s">
        <v>1168</v>
      </c>
      <c r="F47" s="7" t="s">
        <v>1169</v>
      </c>
      <c r="G47" s="7" t="s">
        <v>1190</v>
      </c>
      <c r="H47" s="7" t="s">
        <v>235</v>
      </c>
      <c r="I47" s="7" t="s">
        <v>1179</v>
      </c>
      <c r="J47" s="7" t="s">
        <v>1165</v>
      </c>
      <c r="K47" s="7" t="s">
        <v>1180</v>
      </c>
    </row>
    <row r="48" customFormat="false" ht="15" hidden="false" customHeight="false" outlineLevel="0" collapsed="false">
      <c r="A48" s="7" t="s">
        <v>42</v>
      </c>
      <c r="B48" s="7" t="s">
        <v>29</v>
      </c>
      <c r="C48" s="7" t="s">
        <v>43</v>
      </c>
      <c r="D48" s="7" t="s">
        <v>1191</v>
      </c>
      <c r="E48" s="7" t="s">
        <v>1192</v>
      </c>
      <c r="F48" s="7" t="s">
        <v>1193</v>
      </c>
      <c r="G48" s="7" t="s">
        <v>1194</v>
      </c>
      <c r="H48" s="7" t="s">
        <v>1195</v>
      </c>
      <c r="I48" s="7" t="s">
        <v>1171</v>
      </c>
      <c r="J48" s="7" t="s">
        <v>1135</v>
      </c>
      <c r="K48" s="7" t="s">
        <v>1172</v>
      </c>
    </row>
    <row r="49" customFormat="false" ht="15" hidden="false" customHeight="false" outlineLevel="0" collapsed="false">
      <c r="A49" s="7" t="s">
        <v>42</v>
      </c>
      <c r="B49" s="7" t="s">
        <v>29</v>
      </c>
      <c r="C49" s="7" t="s">
        <v>43</v>
      </c>
      <c r="D49" s="7" t="s">
        <v>1191</v>
      </c>
      <c r="E49" s="7" t="s">
        <v>1192</v>
      </c>
      <c r="F49" s="7" t="s">
        <v>1193</v>
      </c>
      <c r="G49" s="7" t="s">
        <v>1194</v>
      </c>
      <c r="H49" s="7" t="s">
        <v>1195</v>
      </c>
      <c r="I49" s="7" t="s">
        <v>1150</v>
      </c>
      <c r="J49" s="7" t="s">
        <v>1135</v>
      </c>
      <c r="K49" s="7" t="s">
        <v>1151</v>
      </c>
    </row>
    <row r="50" customFormat="false" ht="15" hidden="false" customHeight="false" outlineLevel="0" collapsed="false">
      <c r="A50" s="7" t="s">
        <v>42</v>
      </c>
      <c r="B50" s="7" t="s">
        <v>29</v>
      </c>
      <c r="C50" s="7" t="s">
        <v>43</v>
      </c>
      <c r="D50" s="7" t="s">
        <v>1196</v>
      </c>
      <c r="E50" s="7" t="s">
        <v>1168</v>
      </c>
      <c r="F50" s="7" t="s">
        <v>1197</v>
      </c>
      <c r="G50" s="7" t="s">
        <v>1198</v>
      </c>
      <c r="H50" s="7" t="s">
        <v>327</v>
      </c>
      <c r="I50" s="7" t="s">
        <v>1171</v>
      </c>
      <c r="J50" s="7" t="s">
        <v>1135</v>
      </c>
      <c r="K50" s="7" t="s">
        <v>1172</v>
      </c>
    </row>
    <row r="51" customFormat="false" ht="15" hidden="false" customHeight="false" outlineLevel="0" collapsed="false">
      <c r="A51" s="7" t="s">
        <v>42</v>
      </c>
      <c r="B51" s="7" t="s">
        <v>29</v>
      </c>
      <c r="C51" s="7" t="s">
        <v>43</v>
      </c>
      <c r="D51" s="7" t="s">
        <v>1196</v>
      </c>
      <c r="E51" s="7" t="s">
        <v>1168</v>
      </c>
      <c r="F51" s="7" t="s">
        <v>1197</v>
      </c>
      <c r="G51" s="7" t="s">
        <v>1198</v>
      </c>
      <c r="H51" s="7" t="s">
        <v>327</v>
      </c>
      <c r="I51" s="7" t="s">
        <v>1173</v>
      </c>
      <c r="J51" s="7" t="s">
        <v>1135</v>
      </c>
      <c r="K51" s="7" t="s">
        <v>1174</v>
      </c>
    </row>
    <row r="52" customFormat="false" ht="15" hidden="false" customHeight="false" outlineLevel="0" collapsed="false">
      <c r="A52" s="7" t="s">
        <v>42</v>
      </c>
      <c r="B52" s="7" t="s">
        <v>29</v>
      </c>
      <c r="C52" s="7" t="s">
        <v>43</v>
      </c>
      <c r="D52" s="7" t="s">
        <v>1196</v>
      </c>
      <c r="E52" s="7" t="s">
        <v>1168</v>
      </c>
      <c r="F52" s="7" t="s">
        <v>1197</v>
      </c>
      <c r="G52" s="7" t="s">
        <v>1198</v>
      </c>
      <c r="H52" s="7" t="s">
        <v>327</v>
      </c>
      <c r="I52" s="7" t="s">
        <v>1175</v>
      </c>
      <c r="J52" s="7" t="s">
        <v>1135</v>
      </c>
      <c r="K52" s="7" t="s">
        <v>1176</v>
      </c>
    </row>
    <row r="53" customFormat="false" ht="15" hidden="false" customHeight="false" outlineLevel="0" collapsed="false">
      <c r="A53" s="7" t="s">
        <v>42</v>
      </c>
      <c r="B53" s="7" t="s">
        <v>29</v>
      </c>
      <c r="C53" s="7" t="s">
        <v>43</v>
      </c>
      <c r="D53" s="7" t="s">
        <v>1196</v>
      </c>
      <c r="E53" s="7" t="s">
        <v>1168</v>
      </c>
      <c r="F53" s="7" t="s">
        <v>1197</v>
      </c>
      <c r="G53" s="7" t="s">
        <v>1198</v>
      </c>
      <c r="H53" s="7" t="s">
        <v>327</v>
      </c>
      <c r="I53" s="7" t="s">
        <v>1177</v>
      </c>
      <c r="J53" s="7" t="s">
        <v>1165</v>
      </c>
      <c r="K53" s="7" t="s">
        <v>1178</v>
      </c>
    </row>
    <row r="54" customFormat="false" ht="15" hidden="false" customHeight="false" outlineLevel="0" collapsed="false">
      <c r="A54" s="7" t="s">
        <v>42</v>
      </c>
      <c r="B54" s="7" t="s">
        <v>29</v>
      </c>
      <c r="C54" s="7" t="s">
        <v>43</v>
      </c>
      <c r="D54" s="7" t="s">
        <v>1196</v>
      </c>
      <c r="E54" s="7" t="s">
        <v>1168</v>
      </c>
      <c r="F54" s="7" t="s">
        <v>1197</v>
      </c>
      <c r="G54" s="7" t="s">
        <v>1198</v>
      </c>
      <c r="H54" s="7" t="s">
        <v>327</v>
      </c>
      <c r="I54" s="7" t="s">
        <v>1179</v>
      </c>
      <c r="J54" s="7" t="s">
        <v>1165</v>
      </c>
      <c r="K54" s="7" t="s">
        <v>1180</v>
      </c>
    </row>
    <row r="55" customFormat="false" ht="15" hidden="false" customHeight="false" outlineLevel="0" collapsed="false">
      <c r="A55" s="7" t="s">
        <v>42</v>
      </c>
      <c r="B55" s="7" t="s">
        <v>29</v>
      </c>
      <c r="C55" s="7" t="s">
        <v>43</v>
      </c>
      <c r="D55" s="7" t="s">
        <v>1199</v>
      </c>
      <c r="E55" s="7" t="s">
        <v>1168</v>
      </c>
      <c r="F55" s="7" t="s">
        <v>1197</v>
      </c>
      <c r="G55" s="7" t="s">
        <v>1200</v>
      </c>
      <c r="H55" s="7" t="s">
        <v>327</v>
      </c>
      <c r="I55" s="7" t="s">
        <v>1171</v>
      </c>
      <c r="J55" s="7" t="s">
        <v>1135</v>
      </c>
      <c r="K55" s="7" t="s">
        <v>1172</v>
      </c>
    </row>
    <row r="56" customFormat="false" ht="15" hidden="false" customHeight="false" outlineLevel="0" collapsed="false">
      <c r="A56" s="7" t="s">
        <v>42</v>
      </c>
      <c r="B56" s="7" t="s">
        <v>29</v>
      </c>
      <c r="C56" s="7" t="s">
        <v>43</v>
      </c>
      <c r="D56" s="7" t="s">
        <v>1199</v>
      </c>
      <c r="E56" s="7" t="s">
        <v>1168</v>
      </c>
      <c r="F56" s="7" t="s">
        <v>1197</v>
      </c>
      <c r="G56" s="7" t="s">
        <v>1200</v>
      </c>
      <c r="H56" s="7" t="s">
        <v>327</v>
      </c>
      <c r="I56" s="7" t="s">
        <v>1173</v>
      </c>
      <c r="J56" s="7" t="s">
        <v>1135</v>
      </c>
      <c r="K56" s="7" t="s">
        <v>1174</v>
      </c>
    </row>
    <row r="57" customFormat="false" ht="15" hidden="false" customHeight="false" outlineLevel="0" collapsed="false">
      <c r="A57" s="7" t="s">
        <v>42</v>
      </c>
      <c r="B57" s="7" t="s">
        <v>29</v>
      </c>
      <c r="C57" s="7" t="s">
        <v>43</v>
      </c>
      <c r="D57" s="7" t="s">
        <v>1199</v>
      </c>
      <c r="E57" s="7" t="s">
        <v>1168</v>
      </c>
      <c r="F57" s="7" t="s">
        <v>1197</v>
      </c>
      <c r="G57" s="7" t="s">
        <v>1200</v>
      </c>
      <c r="H57" s="7" t="s">
        <v>327</v>
      </c>
      <c r="I57" s="7" t="s">
        <v>1175</v>
      </c>
      <c r="J57" s="7" t="s">
        <v>1135</v>
      </c>
      <c r="K57" s="7" t="s">
        <v>1176</v>
      </c>
    </row>
    <row r="58" customFormat="false" ht="15" hidden="false" customHeight="false" outlineLevel="0" collapsed="false">
      <c r="A58" s="7" t="s">
        <v>42</v>
      </c>
      <c r="B58" s="7" t="s">
        <v>29</v>
      </c>
      <c r="C58" s="7" t="s">
        <v>43</v>
      </c>
      <c r="D58" s="7" t="s">
        <v>1199</v>
      </c>
      <c r="E58" s="7" t="s">
        <v>1168</v>
      </c>
      <c r="F58" s="7" t="s">
        <v>1197</v>
      </c>
      <c r="G58" s="7" t="s">
        <v>1200</v>
      </c>
      <c r="H58" s="7" t="s">
        <v>327</v>
      </c>
      <c r="I58" s="7" t="s">
        <v>1177</v>
      </c>
      <c r="J58" s="7" t="s">
        <v>1165</v>
      </c>
      <c r="K58" s="7" t="s">
        <v>1178</v>
      </c>
    </row>
    <row r="59" customFormat="false" ht="15" hidden="false" customHeight="false" outlineLevel="0" collapsed="false">
      <c r="A59" s="7" t="s">
        <v>42</v>
      </c>
      <c r="B59" s="7" t="s">
        <v>29</v>
      </c>
      <c r="C59" s="7" t="s">
        <v>43</v>
      </c>
      <c r="D59" s="7" t="s">
        <v>1199</v>
      </c>
      <c r="E59" s="7" t="s">
        <v>1168</v>
      </c>
      <c r="F59" s="7" t="s">
        <v>1197</v>
      </c>
      <c r="G59" s="7" t="s">
        <v>1200</v>
      </c>
      <c r="H59" s="7" t="s">
        <v>327</v>
      </c>
      <c r="I59" s="7" t="s">
        <v>1179</v>
      </c>
      <c r="J59" s="7" t="s">
        <v>1165</v>
      </c>
      <c r="K59" s="7" t="s">
        <v>1180</v>
      </c>
    </row>
    <row r="60" customFormat="false" ht="15" hidden="false" customHeight="false" outlineLevel="0" collapsed="false">
      <c r="A60" s="7" t="s">
        <v>42</v>
      </c>
      <c r="B60" s="7" t="s">
        <v>29</v>
      </c>
      <c r="C60" s="7" t="s">
        <v>43</v>
      </c>
      <c r="D60" s="7" t="s">
        <v>1201</v>
      </c>
      <c r="E60" s="7" t="s">
        <v>1168</v>
      </c>
      <c r="F60" s="7" t="s">
        <v>1197</v>
      </c>
      <c r="G60" s="7" t="s">
        <v>1202</v>
      </c>
      <c r="H60" s="7" t="s">
        <v>972</v>
      </c>
      <c r="I60" s="7" t="s">
        <v>1171</v>
      </c>
      <c r="J60" s="7" t="s">
        <v>1135</v>
      </c>
      <c r="K60" s="7" t="s">
        <v>1172</v>
      </c>
    </row>
    <row r="61" customFormat="false" ht="15" hidden="false" customHeight="false" outlineLevel="0" collapsed="false">
      <c r="A61" s="7" t="s">
        <v>42</v>
      </c>
      <c r="B61" s="7" t="s">
        <v>29</v>
      </c>
      <c r="C61" s="7" t="s">
        <v>43</v>
      </c>
      <c r="D61" s="7" t="s">
        <v>1201</v>
      </c>
      <c r="E61" s="7" t="s">
        <v>1168</v>
      </c>
      <c r="F61" s="7" t="s">
        <v>1197</v>
      </c>
      <c r="G61" s="7" t="s">
        <v>1202</v>
      </c>
      <c r="H61" s="7" t="s">
        <v>972</v>
      </c>
      <c r="I61" s="7" t="s">
        <v>1173</v>
      </c>
      <c r="J61" s="7" t="s">
        <v>1135</v>
      </c>
      <c r="K61" s="7" t="s">
        <v>1174</v>
      </c>
    </row>
    <row r="62" customFormat="false" ht="15" hidden="false" customHeight="false" outlineLevel="0" collapsed="false">
      <c r="A62" s="7" t="s">
        <v>42</v>
      </c>
      <c r="B62" s="7" t="s">
        <v>29</v>
      </c>
      <c r="C62" s="7" t="s">
        <v>43</v>
      </c>
      <c r="D62" s="7" t="s">
        <v>1201</v>
      </c>
      <c r="E62" s="7" t="s">
        <v>1168</v>
      </c>
      <c r="F62" s="7" t="s">
        <v>1197</v>
      </c>
      <c r="G62" s="7" t="s">
        <v>1202</v>
      </c>
      <c r="H62" s="7" t="s">
        <v>972</v>
      </c>
      <c r="I62" s="7" t="s">
        <v>1175</v>
      </c>
      <c r="J62" s="7" t="s">
        <v>1135</v>
      </c>
      <c r="K62" s="7" t="s">
        <v>1176</v>
      </c>
    </row>
    <row r="63" customFormat="false" ht="15" hidden="false" customHeight="false" outlineLevel="0" collapsed="false">
      <c r="A63" s="7" t="s">
        <v>42</v>
      </c>
      <c r="B63" s="7" t="s">
        <v>29</v>
      </c>
      <c r="C63" s="7" t="s">
        <v>43</v>
      </c>
      <c r="D63" s="7" t="s">
        <v>1201</v>
      </c>
      <c r="E63" s="7" t="s">
        <v>1168</v>
      </c>
      <c r="F63" s="7" t="s">
        <v>1197</v>
      </c>
      <c r="G63" s="7" t="s">
        <v>1202</v>
      </c>
      <c r="H63" s="7" t="s">
        <v>972</v>
      </c>
      <c r="I63" s="7" t="s">
        <v>1177</v>
      </c>
      <c r="J63" s="7" t="s">
        <v>1165</v>
      </c>
      <c r="K63" s="7" t="s">
        <v>1178</v>
      </c>
    </row>
    <row r="64" customFormat="false" ht="15" hidden="false" customHeight="false" outlineLevel="0" collapsed="false">
      <c r="A64" s="7" t="s">
        <v>42</v>
      </c>
      <c r="B64" s="7" t="s">
        <v>29</v>
      </c>
      <c r="C64" s="7" t="s">
        <v>43</v>
      </c>
      <c r="D64" s="7" t="s">
        <v>1201</v>
      </c>
      <c r="E64" s="7" t="s">
        <v>1168</v>
      </c>
      <c r="F64" s="7" t="s">
        <v>1197</v>
      </c>
      <c r="G64" s="7" t="s">
        <v>1202</v>
      </c>
      <c r="H64" s="7" t="s">
        <v>972</v>
      </c>
      <c r="I64" s="7" t="s">
        <v>1179</v>
      </c>
      <c r="J64" s="7" t="s">
        <v>1165</v>
      </c>
      <c r="K64" s="7" t="s">
        <v>1180</v>
      </c>
    </row>
    <row r="65" customFormat="false" ht="22.35" hidden="false" customHeight="false" outlineLevel="0" collapsed="false">
      <c r="A65" s="7" t="s">
        <v>45</v>
      </c>
      <c r="B65" s="7" t="s">
        <v>29</v>
      </c>
      <c r="C65" s="7" t="s">
        <v>46</v>
      </c>
      <c r="D65" s="7" t="s">
        <v>1203</v>
      </c>
      <c r="E65" s="7" t="s">
        <v>1204</v>
      </c>
      <c r="F65" s="7" t="s">
        <v>1205</v>
      </c>
      <c r="G65" s="7" t="s">
        <v>1206</v>
      </c>
      <c r="H65" s="7" t="s">
        <v>314</v>
      </c>
      <c r="I65" s="7" t="s">
        <v>1164</v>
      </c>
      <c r="J65" s="7" t="s">
        <v>1165</v>
      </c>
      <c r="K65" s="7" t="s">
        <v>1166</v>
      </c>
    </row>
    <row r="66" customFormat="false" ht="15" hidden="false" customHeight="false" outlineLevel="0" collapsed="false">
      <c r="A66" s="7" t="s">
        <v>45</v>
      </c>
      <c r="B66" s="7" t="s">
        <v>29</v>
      </c>
      <c r="C66" s="7" t="s">
        <v>46</v>
      </c>
      <c r="D66" s="7" t="s">
        <v>1203</v>
      </c>
      <c r="E66" s="7" t="s">
        <v>1204</v>
      </c>
      <c r="F66" s="7" t="s">
        <v>1205</v>
      </c>
      <c r="G66" s="7" t="s">
        <v>1206</v>
      </c>
      <c r="H66" s="7" t="s">
        <v>314</v>
      </c>
      <c r="I66" s="7" t="s">
        <v>1207</v>
      </c>
      <c r="J66" s="7" t="s">
        <v>1135</v>
      </c>
      <c r="K66" s="7" t="s">
        <v>1208</v>
      </c>
    </row>
    <row r="67" customFormat="false" ht="15" hidden="false" customHeight="false" outlineLevel="0" collapsed="false">
      <c r="A67" s="7" t="s">
        <v>45</v>
      </c>
      <c r="B67" s="7" t="s">
        <v>29</v>
      </c>
      <c r="C67" s="7" t="s">
        <v>46</v>
      </c>
      <c r="D67" s="7" t="s">
        <v>1189</v>
      </c>
      <c r="E67" s="7" t="s">
        <v>1168</v>
      </c>
      <c r="F67" s="7" t="s">
        <v>1169</v>
      </c>
      <c r="G67" s="7" t="s">
        <v>1190</v>
      </c>
      <c r="H67" s="7" t="s">
        <v>235</v>
      </c>
      <c r="I67" s="7" t="s">
        <v>1171</v>
      </c>
      <c r="J67" s="7" t="s">
        <v>1135</v>
      </c>
      <c r="K67" s="7" t="s">
        <v>1172</v>
      </c>
    </row>
    <row r="68" customFormat="false" ht="15" hidden="false" customHeight="false" outlineLevel="0" collapsed="false">
      <c r="A68" s="7" t="s">
        <v>45</v>
      </c>
      <c r="B68" s="7" t="s">
        <v>29</v>
      </c>
      <c r="C68" s="7" t="s">
        <v>46</v>
      </c>
      <c r="D68" s="7" t="s">
        <v>1189</v>
      </c>
      <c r="E68" s="7" t="s">
        <v>1168</v>
      </c>
      <c r="F68" s="7" t="s">
        <v>1169</v>
      </c>
      <c r="G68" s="7" t="s">
        <v>1190</v>
      </c>
      <c r="H68" s="7" t="s">
        <v>235</v>
      </c>
      <c r="I68" s="7" t="s">
        <v>1173</v>
      </c>
      <c r="J68" s="7" t="s">
        <v>1135</v>
      </c>
      <c r="K68" s="7" t="s">
        <v>1174</v>
      </c>
    </row>
    <row r="69" customFormat="false" ht="15" hidden="false" customHeight="false" outlineLevel="0" collapsed="false">
      <c r="A69" s="7" t="s">
        <v>45</v>
      </c>
      <c r="B69" s="7" t="s">
        <v>29</v>
      </c>
      <c r="C69" s="7" t="s">
        <v>46</v>
      </c>
      <c r="D69" s="7" t="s">
        <v>1189</v>
      </c>
      <c r="E69" s="7" t="s">
        <v>1168</v>
      </c>
      <c r="F69" s="7" t="s">
        <v>1169</v>
      </c>
      <c r="G69" s="7" t="s">
        <v>1190</v>
      </c>
      <c r="H69" s="7" t="s">
        <v>235</v>
      </c>
      <c r="I69" s="7" t="s">
        <v>1175</v>
      </c>
      <c r="J69" s="7" t="s">
        <v>1135</v>
      </c>
      <c r="K69" s="7" t="s">
        <v>1176</v>
      </c>
    </row>
    <row r="70" customFormat="false" ht="15" hidden="false" customHeight="false" outlineLevel="0" collapsed="false">
      <c r="A70" s="7" t="s">
        <v>45</v>
      </c>
      <c r="B70" s="7" t="s">
        <v>29</v>
      </c>
      <c r="C70" s="7" t="s">
        <v>46</v>
      </c>
      <c r="D70" s="7" t="s">
        <v>1189</v>
      </c>
      <c r="E70" s="7" t="s">
        <v>1168</v>
      </c>
      <c r="F70" s="7" t="s">
        <v>1169</v>
      </c>
      <c r="G70" s="7" t="s">
        <v>1190</v>
      </c>
      <c r="H70" s="7" t="s">
        <v>235</v>
      </c>
      <c r="I70" s="7" t="s">
        <v>1177</v>
      </c>
      <c r="J70" s="7" t="s">
        <v>1165</v>
      </c>
      <c r="K70" s="7" t="s">
        <v>1178</v>
      </c>
    </row>
    <row r="71" customFormat="false" ht="15" hidden="false" customHeight="false" outlineLevel="0" collapsed="false">
      <c r="A71" s="7" t="s">
        <v>45</v>
      </c>
      <c r="B71" s="7" t="s">
        <v>29</v>
      </c>
      <c r="C71" s="7" t="s">
        <v>46</v>
      </c>
      <c r="D71" s="7" t="s">
        <v>1189</v>
      </c>
      <c r="E71" s="7" t="s">
        <v>1168</v>
      </c>
      <c r="F71" s="7" t="s">
        <v>1169</v>
      </c>
      <c r="G71" s="7" t="s">
        <v>1190</v>
      </c>
      <c r="H71" s="7" t="s">
        <v>235</v>
      </c>
      <c r="I71" s="7" t="s">
        <v>1179</v>
      </c>
      <c r="J71" s="7" t="s">
        <v>1165</v>
      </c>
      <c r="K71" s="7" t="s">
        <v>1180</v>
      </c>
    </row>
    <row r="72" customFormat="false" ht="15" hidden="false" customHeight="false" outlineLevel="0" collapsed="false">
      <c r="A72" s="7" t="s">
        <v>45</v>
      </c>
      <c r="B72" s="7" t="s">
        <v>29</v>
      </c>
      <c r="C72" s="7" t="s">
        <v>46</v>
      </c>
      <c r="D72" s="7" t="s">
        <v>1185</v>
      </c>
      <c r="E72" s="7" t="s">
        <v>1168</v>
      </c>
      <c r="F72" s="7" t="s">
        <v>1169</v>
      </c>
      <c r="G72" s="7" t="s">
        <v>1186</v>
      </c>
      <c r="H72" s="7" t="s">
        <v>235</v>
      </c>
      <c r="I72" s="7" t="s">
        <v>1171</v>
      </c>
      <c r="J72" s="7" t="s">
        <v>1135</v>
      </c>
      <c r="K72" s="7" t="s">
        <v>1172</v>
      </c>
    </row>
    <row r="73" customFormat="false" ht="15" hidden="false" customHeight="false" outlineLevel="0" collapsed="false">
      <c r="A73" s="7" t="s">
        <v>45</v>
      </c>
      <c r="B73" s="7" t="s">
        <v>29</v>
      </c>
      <c r="C73" s="7" t="s">
        <v>46</v>
      </c>
      <c r="D73" s="7" t="s">
        <v>1185</v>
      </c>
      <c r="E73" s="7" t="s">
        <v>1168</v>
      </c>
      <c r="F73" s="7" t="s">
        <v>1169</v>
      </c>
      <c r="G73" s="7" t="s">
        <v>1186</v>
      </c>
      <c r="H73" s="7" t="s">
        <v>235</v>
      </c>
      <c r="I73" s="7" t="s">
        <v>1173</v>
      </c>
      <c r="J73" s="7" t="s">
        <v>1135</v>
      </c>
      <c r="K73" s="7" t="s">
        <v>1174</v>
      </c>
    </row>
    <row r="74" customFormat="false" ht="15" hidden="false" customHeight="false" outlineLevel="0" collapsed="false">
      <c r="A74" s="7" t="s">
        <v>45</v>
      </c>
      <c r="B74" s="7" t="s">
        <v>29</v>
      </c>
      <c r="C74" s="7" t="s">
        <v>46</v>
      </c>
      <c r="D74" s="7" t="s">
        <v>1185</v>
      </c>
      <c r="E74" s="7" t="s">
        <v>1168</v>
      </c>
      <c r="F74" s="7" t="s">
        <v>1169</v>
      </c>
      <c r="G74" s="7" t="s">
        <v>1186</v>
      </c>
      <c r="H74" s="7" t="s">
        <v>235</v>
      </c>
      <c r="I74" s="7" t="s">
        <v>1175</v>
      </c>
      <c r="J74" s="7" t="s">
        <v>1135</v>
      </c>
      <c r="K74" s="7" t="s">
        <v>1176</v>
      </c>
    </row>
    <row r="75" customFormat="false" ht="15" hidden="false" customHeight="false" outlineLevel="0" collapsed="false">
      <c r="A75" s="7" t="s">
        <v>45</v>
      </c>
      <c r="B75" s="7" t="s">
        <v>29</v>
      </c>
      <c r="C75" s="7" t="s">
        <v>46</v>
      </c>
      <c r="D75" s="7" t="s">
        <v>1185</v>
      </c>
      <c r="E75" s="7" t="s">
        <v>1168</v>
      </c>
      <c r="F75" s="7" t="s">
        <v>1169</v>
      </c>
      <c r="G75" s="7" t="s">
        <v>1186</v>
      </c>
      <c r="H75" s="7" t="s">
        <v>235</v>
      </c>
      <c r="I75" s="7" t="s">
        <v>1177</v>
      </c>
      <c r="J75" s="7" t="s">
        <v>1165</v>
      </c>
      <c r="K75" s="7" t="s">
        <v>1178</v>
      </c>
    </row>
    <row r="76" customFormat="false" ht="15" hidden="false" customHeight="false" outlineLevel="0" collapsed="false">
      <c r="A76" s="7" t="s">
        <v>45</v>
      </c>
      <c r="B76" s="7" t="s">
        <v>29</v>
      </c>
      <c r="C76" s="7" t="s">
        <v>46</v>
      </c>
      <c r="D76" s="7" t="s">
        <v>1185</v>
      </c>
      <c r="E76" s="7" t="s">
        <v>1168</v>
      </c>
      <c r="F76" s="7" t="s">
        <v>1169</v>
      </c>
      <c r="G76" s="7" t="s">
        <v>1186</v>
      </c>
      <c r="H76" s="7" t="s">
        <v>235</v>
      </c>
      <c r="I76" s="7" t="s">
        <v>1179</v>
      </c>
      <c r="J76" s="7" t="s">
        <v>1165</v>
      </c>
      <c r="K76" s="7" t="s">
        <v>1180</v>
      </c>
    </row>
    <row r="77" customFormat="false" ht="15" hidden="false" customHeight="false" outlineLevel="0" collapsed="false">
      <c r="A77" s="7" t="s">
        <v>45</v>
      </c>
      <c r="B77" s="7" t="s">
        <v>29</v>
      </c>
      <c r="C77" s="7" t="s">
        <v>46</v>
      </c>
      <c r="D77" s="7" t="s">
        <v>1185</v>
      </c>
      <c r="E77" s="7" t="s">
        <v>1168</v>
      </c>
      <c r="F77" s="7" t="s">
        <v>1169</v>
      </c>
      <c r="G77" s="7" t="s">
        <v>1186</v>
      </c>
      <c r="H77" s="7" t="s">
        <v>235</v>
      </c>
      <c r="I77" s="7" t="s">
        <v>1187</v>
      </c>
      <c r="J77" s="7" t="s">
        <v>1135</v>
      </c>
      <c r="K77" s="7" t="s">
        <v>1188</v>
      </c>
    </row>
    <row r="78" customFormat="false" ht="15" hidden="false" customHeight="false" outlineLevel="0" collapsed="false">
      <c r="A78" s="9" t="s">
        <v>51</v>
      </c>
      <c r="B78" s="9" t="s">
        <v>48</v>
      </c>
      <c r="C78" s="9" t="s">
        <v>52</v>
      </c>
      <c r="D78" s="9" t="s">
        <v>1209</v>
      </c>
      <c r="E78" s="9" t="s">
        <v>1168</v>
      </c>
      <c r="F78" s="9" t="s">
        <v>1169</v>
      </c>
      <c r="G78" s="9" t="s">
        <v>1210</v>
      </c>
      <c r="H78" s="9" t="s">
        <v>235</v>
      </c>
      <c r="I78" s="9" t="s">
        <v>1171</v>
      </c>
      <c r="J78" s="9" t="s">
        <v>1135</v>
      </c>
      <c r="K78" s="9" t="s">
        <v>1172</v>
      </c>
    </row>
    <row r="79" customFormat="false" ht="15" hidden="false" customHeight="false" outlineLevel="0" collapsed="false">
      <c r="A79" s="9" t="s">
        <v>51</v>
      </c>
      <c r="B79" s="9" t="s">
        <v>48</v>
      </c>
      <c r="C79" s="9" t="s">
        <v>52</v>
      </c>
      <c r="D79" s="9" t="s">
        <v>1209</v>
      </c>
      <c r="E79" s="9" t="s">
        <v>1168</v>
      </c>
      <c r="F79" s="9" t="s">
        <v>1169</v>
      </c>
      <c r="G79" s="9" t="s">
        <v>1210</v>
      </c>
      <c r="H79" s="9" t="s">
        <v>235</v>
      </c>
      <c r="I79" s="9" t="s">
        <v>1173</v>
      </c>
      <c r="J79" s="9" t="s">
        <v>1135</v>
      </c>
      <c r="K79" s="9" t="s">
        <v>1174</v>
      </c>
    </row>
    <row r="80" customFormat="false" ht="15" hidden="false" customHeight="false" outlineLevel="0" collapsed="false">
      <c r="A80" s="9" t="s">
        <v>51</v>
      </c>
      <c r="B80" s="9" t="s">
        <v>48</v>
      </c>
      <c r="C80" s="9" t="s">
        <v>52</v>
      </c>
      <c r="D80" s="9" t="s">
        <v>1209</v>
      </c>
      <c r="E80" s="9" t="s">
        <v>1168</v>
      </c>
      <c r="F80" s="9" t="s">
        <v>1169</v>
      </c>
      <c r="G80" s="9" t="s">
        <v>1210</v>
      </c>
      <c r="H80" s="9" t="s">
        <v>235</v>
      </c>
      <c r="I80" s="9" t="s">
        <v>1175</v>
      </c>
      <c r="J80" s="9" t="s">
        <v>1135</v>
      </c>
      <c r="K80" s="9" t="s">
        <v>1176</v>
      </c>
    </row>
    <row r="81" customFormat="false" ht="15" hidden="false" customHeight="false" outlineLevel="0" collapsed="false">
      <c r="A81" s="9" t="s">
        <v>51</v>
      </c>
      <c r="B81" s="9" t="s">
        <v>48</v>
      </c>
      <c r="C81" s="9" t="s">
        <v>52</v>
      </c>
      <c r="D81" s="9" t="s">
        <v>1209</v>
      </c>
      <c r="E81" s="9" t="s">
        <v>1168</v>
      </c>
      <c r="F81" s="9" t="s">
        <v>1169</v>
      </c>
      <c r="G81" s="9" t="s">
        <v>1210</v>
      </c>
      <c r="H81" s="9" t="s">
        <v>235</v>
      </c>
      <c r="I81" s="9" t="s">
        <v>1177</v>
      </c>
      <c r="J81" s="9" t="s">
        <v>1165</v>
      </c>
      <c r="K81" s="9" t="s">
        <v>1178</v>
      </c>
    </row>
    <row r="82" customFormat="false" ht="15" hidden="false" customHeight="false" outlineLevel="0" collapsed="false">
      <c r="A82" s="9" t="s">
        <v>51</v>
      </c>
      <c r="B82" s="9" t="s">
        <v>48</v>
      </c>
      <c r="C82" s="9" t="s">
        <v>52</v>
      </c>
      <c r="D82" s="9" t="s">
        <v>1209</v>
      </c>
      <c r="E82" s="9" t="s">
        <v>1168</v>
      </c>
      <c r="F82" s="9" t="s">
        <v>1169</v>
      </c>
      <c r="G82" s="9" t="s">
        <v>1210</v>
      </c>
      <c r="H82" s="9" t="s">
        <v>235</v>
      </c>
      <c r="I82" s="9" t="s">
        <v>1179</v>
      </c>
      <c r="J82" s="9" t="s">
        <v>1165</v>
      </c>
      <c r="K82" s="9" t="s">
        <v>1180</v>
      </c>
    </row>
    <row r="83" customFormat="false" ht="15" hidden="false" customHeight="false" outlineLevel="0" collapsed="false">
      <c r="A83" s="9" t="s">
        <v>51</v>
      </c>
      <c r="B83" s="9" t="s">
        <v>48</v>
      </c>
      <c r="C83" s="9" t="s">
        <v>52</v>
      </c>
      <c r="D83" s="9" t="s">
        <v>1211</v>
      </c>
      <c r="E83" s="9" t="s">
        <v>1168</v>
      </c>
      <c r="F83" s="9" t="s">
        <v>1169</v>
      </c>
      <c r="G83" s="9" t="s">
        <v>1212</v>
      </c>
      <c r="H83" s="9" t="s">
        <v>235</v>
      </c>
      <c r="I83" s="9" t="s">
        <v>1177</v>
      </c>
      <c r="J83" s="9" t="s">
        <v>1165</v>
      </c>
      <c r="K83" s="9" t="s">
        <v>1178</v>
      </c>
    </row>
    <row r="84" customFormat="false" ht="15" hidden="false" customHeight="false" outlineLevel="0" collapsed="false">
      <c r="A84" s="9" t="s">
        <v>51</v>
      </c>
      <c r="B84" s="9" t="s">
        <v>48</v>
      </c>
      <c r="C84" s="9" t="s">
        <v>52</v>
      </c>
      <c r="D84" s="9" t="s">
        <v>1211</v>
      </c>
      <c r="E84" s="9" t="s">
        <v>1168</v>
      </c>
      <c r="F84" s="9" t="s">
        <v>1169</v>
      </c>
      <c r="G84" s="9" t="s">
        <v>1212</v>
      </c>
      <c r="H84" s="9" t="s">
        <v>235</v>
      </c>
      <c r="I84" s="9" t="s">
        <v>1171</v>
      </c>
      <c r="J84" s="9" t="s">
        <v>1135</v>
      </c>
      <c r="K84" s="9" t="s">
        <v>1172</v>
      </c>
    </row>
    <row r="85" customFormat="false" ht="15" hidden="false" customHeight="false" outlineLevel="0" collapsed="false">
      <c r="A85" s="9" t="s">
        <v>51</v>
      </c>
      <c r="B85" s="9" t="s">
        <v>48</v>
      </c>
      <c r="C85" s="9" t="s">
        <v>52</v>
      </c>
      <c r="D85" s="9" t="s">
        <v>1185</v>
      </c>
      <c r="E85" s="9" t="s">
        <v>1168</v>
      </c>
      <c r="F85" s="9" t="s">
        <v>1169</v>
      </c>
      <c r="G85" s="9" t="s">
        <v>1186</v>
      </c>
      <c r="H85" s="9" t="s">
        <v>235</v>
      </c>
      <c r="I85" s="9" t="s">
        <v>1171</v>
      </c>
      <c r="J85" s="9" t="s">
        <v>1135</v>
      </c>
      <c r="K85" s="9" t="s">
        <v>1172</v>
      </c>
    </row>
    <row r="86" customFormat="false" ht="15" hidden="false" customHeight="false" outlineLevel="0" collapsed="false">
      <c r="A86" s="9" t="s">
        <v>51</v>
      </c>
      <c r="B86" s="9" t="s">
        <v>48</v>
      </c>
      <c r="C86" s="9" t="s">
        <v>52</v>
      </c>
      <c r="D86" s="9" t="s">
        <v>1185</v>
      </c>
      <c r="E86" s="9" t="s">
        <v>1168</v>
      </c>
      <c r="F86" s="9" t="s">
        <v>1169</v>
      </c>
      <c r="G86" s="9" t="s">
        <v>1186</v>
      </c>
      <c r="H86" s="9" t="s">
        <v>235</v>
      </c>
      <c r="I86" s="9" t="s">
        <v>1173</v>
      </c>
      <c r="J86" s="9" t="s">
        <v>1135</v>
      </c>
      <c r="K86" s="9" t="s">
        <v>1174</v>
      </c>
    </row>
    <row r="87" customFormat="false" ht="15" hidden="false" customHeight="false" outlineLevel="0" collapsed="false">
      <c r="A87" s="9" t="s">
        <v>51</v>
      </c>
      <c r="B87" s="9" t="s">
        <v>48</v>
      </c>
      <c r="C87" s="9" t="s">
        <v>52</v>
      </c>
      <c r="D87" s="9" t="s">
        <v>1185</v>
      </c>
      <c r="E87" s="9" t="s">
        <v>1168</v>
      </c>
      <c r="F87" s="9" t="s">
        <v>1169</v>
      </c>
      <c r="G87" s="9" t="s">
        <v>1186</v>
      </c>
      <c r="H87" s="9" t="s">
        <v>235</v>
      </c>
      <c r="I87" s="9" t="s">
        <v>1175</v>
      </c>
      <c r="J87" s="9" t="s">
        <v>1135</v>
      </c>
      <c r="K87" s="9" t="s">
        <v>1176</v>
      </c>
    </row>
    <row r="88" customFormat="false" ht="15" hidden="false" customHeight="false" outlineLevel="0" collapsed="false">
      <c r="A88" s="9" t="s">
        <v>51</v>
      </c>
      <c r="B88" s="9" t="s">
        <v>48</v>
      </c>
      <c r="C88" s="9" t="s">
        <v>52</v>
      </c>
      <c r="D88" s="9" t="s">
        <v>1185</v>
      </c>
      <c r="E88" s="9" t="s">
        <v>1168</v>
      </c>
      <c r="F88" s="9" t="s">
        <v>1169</v>
      </c>
      <c r="G88" s="9" t="s">
        <v>1186</v>
      </c>
      <c r="H88" s="9" t="s">
        <v>235</v>
      </c>
      <c r="I88" s="9" t="s">
        <v>1177</v>
      </c>
      <c r="J88" s="9" t="s">
        <v>1165</v>
      </c>
      <c r="K88" s="9" t="s">
        <v>1178</v>
      </c>
    </row>
    <row r="89" customFormat="false" ht="15" hidden="false" customHeight="false" outlineLevel="0" collapsed="false">
      <c r="A89" s="9" t="s">
        <v>51</v>
      </c>
      <c r="B89" s="9" t="s">
        <v>48</v>
      </c>
      <c r="C89" s="9" t="s">
        <v>52</v>
      </c>
      <c r="D89" s="9" t="s">
        <v>1185</v>
      </c>
      <c r="E89" s="9" t="s">
        <v>1168</v>
      </c>
      <c r="F89" s="9" t="s">
        <v>1169</v>
      </c>
      <c r="G89" s="9" t="s">
        <v>1186</v>
      </c>
      <c r="H89" s="9" t="s">
        <v>235</v>
      </c>
      <c r="I89" s="9" t="s">
        <v>1179</v>
      </c>
      <c r="J89" s="9" t="s">
        <v>1165</v>
      </c>
      <c r="K89" s="9" t="s">
        <v>1180</v>
      </c>
    </row>
    <row r="90" customFormat="false" ht="15" hidden="false" customHeight="false" outlineLevel="0" collapsed="false">
      <c r="A90" s="9" t="s">
        <v>51</v>
      </c>
      <c r="B90" s="9" t="s">
        <v>48</v>
      </c>
      <c r="C90" s="9" t="s">
        <v>52</v>
      </c>
      <c r="D90" s="9" t="s">
        <v>1185</v>
      </c>
      <c r="E90" s="9" t="s">
        <v>1168</v>
      </c>
      <c r="F90" s="9" t="s">
        <v>1169</v>
      </c>
      <c r="G90" s="9" t="s">
        <v>1186</v>
      </c>
      <c r="H90" s="9" t="s">
        <v>235</v>
      </c>
      <c r="I90" s="9" t="s">
        <v>1187</v>
      </c>
      <c r="J90" s="9" t="s">
        <v>1135</v>
      </c>
      <c r="K90" s="9" t="s">
        <v>1188</v>
      </c>
    </row>
    <row r="91" customFormat="false" ht="15" hidden="false" customHeight="false" outlineLevel="0" collapsed="false">
      <c r="A91" s="9" t="s">
        <v>51</v>
      </c>
      <c r="B91" s="9" t="s">
        <v>48</v>
      </c>
      <c r="C91" s="9" t="s">
        <v>52</v>
      </c>
      <c r="D91" s="9" t="s">
        <v>1181</v>
      </c>
      <c r="E91" s="9" t="s">
        <v>1168</v>
      </c>
      <c r="F91" s="9" t="s">
        <v>1169</v>
      </c>
      <c r="G91" s="9" t="s">
        <v>1182</v>
      </c>
      <c r="H91" s="9" t="s">
        <v>235</v>
      </c>
      <c r="I91" s="9" t="s">
        <v>1171</v>
      </c>
      <c r="J91" s="9" t="s">
        <v>1135</v>
      </c>
      <c r="K91" s="9" t="s">
        <v>1172</v>
      </c>
    </row>
    <row r="92" customFormat="false" ht="15" hidden="false" customHeight="false" outlineLevel="0" collapsed="false">
      <c r="A92" s="9" t="s">
        <v>51</v>
      </c>
      <c r="B92" s="9" t="s">
        <v>48</v>
      </c>
      <c r="C92" s="9" t="s">
        <v>52</v>
      </c>
      <c r="D92" s="9" t="s">
        <v>1181</v>
      </c>
      <c r="E92" s="9" t="s">
        <v>1168</v>
      </c>
      <c r="F92" s="9" t="s">
        <v>1169</v>
      </c>
      <c r="G92" s="9" t="s">
        <v>1182</v>
      </c>
      <c r="H92" s="9" t="s">
        <v>235</v>
      </c>
      <c r="I92" s="9" t="s">
        <v>1173</v>
      </c>
      <c r="J92" s="9" t="s">
        <v>1135</v>
      </c>
      <c r="K92" s="9" t="s">
        <v>1174</v>
      </c>
    </row>
    <row r="93" customFormat="false" ht="15" hidden="false" customHeight="false" outlineLevel="0" collapsed="false">
      <c r="A93" s="9" t="s">
        <v>51</v>
      </c>
      <c r="B93" s="9" t="s">
        <v>48</v>
      </c>
      <c r="C93" s="9" t="s">
        <v>52</v>
      </c>
      <c r="D93" s="9" t="s">
        <v>1181</v>
      </c>
      <c r="E93" s="9" t="s">
        <v>1168</v>
      </c>
      <c r="F93" s="9" t="s">
        <v>1169</v>
      </c>
      <c r="G93" s="9" t="s">
        <v>1182</v>
      </c>
      <c r="H93" s="9" t="s">
        <v>235</v>
      </c>
      <c r="I93" s="9" t="s">
        <v>1175</v>
      </c>
      <c r="J93" s="9" t="s">
        <v>1135</v>
      </c>
      <c r="K93" s="9" t="s">
        <v>1176</v>
      </c>
    </row>
    <row r="94" customFormat="false" ht="15" hidden="false" customHeight="false" outlineLevel="0" collapsed="false">
      <c r="A94" s="9" t="s">
        <v>51</v>
      </c>
      <c r="B94" s="9" t="s">
        <v>48</v>
      </c>
      <c r="C94" s="9" t="s">
        <v>52</v>
      </c>
      <c r="D94" s="9" t="s">
        <v>1181</v>
      </c>
      <c r="E94" s="9" t="s">
        <v>1168</v>
      </c>
      <c r="F94" s="9" t="s">
        <v>1169</v>
      </c>
      <c r="G94" s="9" t="s">
        <v>1182</v>
      </c>
      <c r="H94" s="9" t="s">
        <v>235</v>
      </c>
      <c r="I94" s="9" t="s">
        <v>1177</v>
      </c>
      <c r="J94" s="9" t="s">
        <v>1165</v>
      </c>
      <c r="K94" s="9" t="s">
        <v>1178</v>
      </c>
    </row>
    <row r="95" customFormat="false" ht="15" hidden="false" customHeight="false" outlineLevel="0" collapsed="false">
      <c r="A95" s="9" t="s">
        <v>51</v>
      </c>
      <c r="B95" s="9" t="s">
        <v>48</v>
      </c>
      <c r="C95" s="9" t="s">
        <v>52</v>
      </c>
      <c r="D95" s="9" t="s">
        <v>1181</v>
      </c>
      <c r="E95" s="9" t="s">
        <v>1168</v>
      </c>
      <c r="F95" s="9" t="s">
        <v>1169</v>
      </c>
      <c r="G95" s="9" t="s">
        <v>1182</v>
      </c>
      <c r="H95" s="9" t="s">
        <v>235</v>
      </c>
      <c r="I95" s="9" t="s">
        <v>1179</v>
      </c>
      <c r="J95" s="9" t="s">
        <v>1165</v>
      </c>
      <c r="K95" s="9" t="s">
        <v>1180</v>
      </c>
    </row>
    <row r="96" customFormat="false" ht="22.35" hidden="false" customHeight="false" outlineLevel="0" collapsed="false">
      <c r="A96" s="9" t="s">
        <v>51</v>
      </c>
      <c r="B96" s="9" t="s">
        <v>48</v>
      </c>
      <c r="C96" s="9" t="s">
        <v>52</v>
      </c>
      <c r="D96" s="9" t="s">
        <v>1181</v>
      </c>
      <c r="E96" s="9" t="s">
        <v>1168</v>
      </c>
      <c r="F96" s="9" t="s">
        <v>1169</v>
      </c>
      <c r="G96" s="9" t="s">
        <v>1182</v>
      </c>
      <c r="H96" s="9" t="s">
        <v>235</v>
      </c>
      <c r="I96" s="9" t="s">
        <v>1157</v>
      </c>
      <c r="J96" s="9" t="s">
        <v>1135</v>
      </c>
      <c r="K96" s="9" t="s">
        <v>1158</v>
      </c>
    </row>
    <row r="97" customFormat="false" ht="22.35" hidden="false" customHeight="false" outlineLevel="0" collapsed="false">
      <c r="A97" s="9" t="s">
        <v>54</v>
      </c>
      <c r="B97" s="9" t="s">
        <v>48</v>
      </c>
      <c r="C97" s="9" t="s">
        <v>55</v>
      </c>
      <c r="D97" s="9" t="s">
        <v>1213</v>
      </c>
      <c r="E97" s="9" t="s">
        <v>1168</v>
      </c>
      <c r="F97" s="9" t="s">
        <v>1169</v>
      </c>
      <c r="G97" s="9" t="s">
        <v>1214</v>
      </c>
      <c r="H97" s="9" t="s">
        <v>235</v>
      </c>
      <c r="I97" s="9" t="s">
        <v>1171</v>
      </c>
      <c r="J97" s="9" t="s">
        <v>1135</v>
      </c>
      <c r="K97" s="9" t="s">
        <v>1172</v>
      </c>
    </row>
    <row r="98" customFormat="false" ht="22.35" hidden="false" customHeight="false" outlineLevel="0" collapsed="false">
      <c r="A98" s="9" t="s">
        <v>54</v>
      </c>
      <c r="B98" s="9" t="s">
        <v>48</v>
      </c>
      <c r="C98" s="9" t="s">
        <v>55</v>
      </c>
      <c r="D98" s="9" t="s">
        <v>1213</v>
      </c>
      <c r="E98" s="9" t="s">
        <v>1168</v>
      </c>
      <c r="F98" s="9" t="s">
        <v>1169</v>
      </c>
      <c r="G98" s="9" t="s">
        <v>1214</v>
      </c>
      <c r="H98" s="9" t="s">
        <v>235</v>
      </c>
      <c r="I98" s="9" t="s">
        <v>1173</v>
      </c>
      <c r="J98" s="9" t="s">
        <v>1135</v>
      </c>
      <c r="K98" s="9" t="s">
        <v>1174</v>
      </c>
    </row>
    <row r="99" customFormat="false" ht="22.35" hidden="false" customHeight="false" outlineLevel="0" collapsed="false">
      <c r="A99" s="9" t="s">
        <v>54</v>
      </c>
      <c r="B99" s="9" t="s">
        <v>48</v>
      </c>
      <c r="C99" s="9" t="s">
        <v>55</v>
      </c>
      <c r="D99" s="9" t="s">
        <v>1213</v>
      </c>
      <c r="E99" s="9" t="s">
        <v>1168</v>
      </c>
      <c r="F99" s="9" t="s">
        <v>1169</v>
      </c>
      <c r="G99" s="9" t="s">
        <v>1214</v>
      </c>
      <c r="H99" s="9" t="s">
        <v>235</v>
      </c>
      <c r="I99" s="9" t="s">
        <v>1175</v>
      </c>
      <c r="J99" s="9" t="s">
        <v>1135</v>
      </c>
      <c r="K99" s="9" t="s">
        <v>1176</v>
      </c>
    </row>
    <row r="100" customFormat="false" ht="22.35" hidden="false" customHeight="false" outlineLevel="0" collapsed="false">
      <c r="A100" s="9" t="s">
        <v>54</v>
      </c>
      <c r="B100" s="9" t="s">
        <v>48</v>
      </c>
      <c r="C100" s="9" t="s">
        <v>55</v>
      </c>
      <c r="D100" s="9" t="s">
        <v>1213</v>
      </c>
      <c r="E100" s="9" t="s">
        <v>1168</v>
      </c>
      <c r="F100" s="9" t="s">
        <v>1169</v>
      </c>
      <c r="G100" s="9" t="s">
        <v>1214</v>
      </c>
      <c r="H100" s="9" t="s">
        <v>235</v>
      </c>
      <c r="I100" s="9" t="s">
        <v>1177</v>
      </c>
      <c r="J100" s="9" t="s">
        <v>1165</v>
      </c>
      <c r="K100" s="9" t="s">
        <v>1178</v>
      </c>
    </row>
    <row r="101" customFormat="false" ht="22.35" hidden="false" customHeight="false" outlineLevel="0" collapsed="false">
      <c r="A101" s="9" t="s">
        <v>54</v>
      </c>
      <c r="B101" s="9" t="s">
        <v>48</v>
      </c>
      <c r="C101" s="9" t="s">
        <v>55</v>
      </c>
      <c r="D101" s="9" t="s">
        <v>1213</v>
      </c>
      <c r="E101" s="9" t="s">
        <v>1168</v>
      </c>
      <c r="F101" s="9" t="s">
        <v>1169</v>
      </c>
      <c r="G101" s="9" t="s">
        <v>1214</v>
      </c>
      <c r="H101" s="9" t="s">
        <v>235</v>
      </c>
      <c r="I101" s="9" t="s">
        <v>1179</v>
      </c>
      <c r="J101" s="9" t="s">
        <v>1165</v>
      </c>
      <c r="K101" s="9" t="s">
        <v>1180</v>
      </c>
    </row>
    <row r="102" customFormat="false" ht="22.35" hidden="false" customHeight="false" outlineLevel="0" collapsed="false">
      <c r="A102" s="9" t="s">
        <v>54</v>
      </c>
      <c r="B102" s="9" t="s">
        <v>48</v>
      </c>
      <c r="C102" s="9" t="s">
        <v>55</v>
      </c>
      <c r="D102" s="9" t="s">
        <v>1211</v>
      </c>
      <c r="E102" s="9" t="s">
        <v>1168</v>
      </c>
      <c r="F102" s="9" t="s">
        <v>1169</v>
      </c>
      <c r="G102" s="9" t="s">
        <v>1212</v>
      </c>
      <c r="H102" s="9" t="s">
        <v>235</v>
      </c>
      <c r="I102" s="9" t="s">
        <v>1177</v>
      </c>
      <c r="J102" s="9" t="s">
        <v>1165</v>
      </c>
      <c r="K102" s="9" t="s">
        <v>1178</v>
      </c>
    </row>
    <row r="103" customFormat="false" ht="22.35" hidden="false" customHeight="false" outlineLevel="0" collapsed="false">
      <c r="A103" s="9" t="s">
        <v>54</v>
      </c>
      <c r="B103" s="9" t="s">
        <v>48</v>
      </c>
      <c r="C103" s="9" t="s">
        <v>55</v>
      </c>
      <c r="D103" s="9" t="s">
        <v>1211</v>
      </c>
      <c r="E103" s="9" t="s">
        <v>1168</v>
      </c>
      <c r="F103" s="9" t="s">
        <v>1169</v>
      </c>
      <c r="G103" s="9" t="s">
        <v>1212</v>
      </c>
      <c r="H103" s="9" t="s">
        <v>235</v>
      </c>
      <c r="I103" s="9" t="s">
        <v>1171</v>
      </c>
      <c r="J103" s="9" t="s">
        <v>1135</v>
      </c>
      <c r="K103" s="9" t="s">
        <v>1172</v>
      </c>
    </row>
    <row r="104" customFormat="false" ht="22.35" hidden="false" customHeight="false" outlineLevel="0" collapsed="false">
      <c r="A104" s="9" t="s">
        <v>54</v>
      </c>
      <c r="B104" s="9" t="s">
        <v>48</v>
      </c>
      <c r="C104" s="9" t="s">
        <v>55</v>
      </c>
      <c r="D104" s="9" t="s">
        <v>1215</v>
      </c>
      <c r="E104" s="9" t="s">
        <v>1168</v>
      </c>
      <c r="F104" s="9" t="s">
        <v>1169</v>
      </c>
      <c r="G104" s="9" t="s">
        <v>1216</v>
      </c>
      <c r="H104" s="9" t="s">
        <v>235</v>
      </c>
      <c r="I104" s="9" t="s">
        <v>1177</v>
      </c>
      <c r="J104" s="9" t="s">
        <v>1165</v>
      </c>
      <c r="K104" s="9" t="s">
        <v>1178</v>
      </c>
    </row>
    <row r="105" customFormat="false" ht="22.35" hidden="false" customHeight="false" outlineLevel="0" collapsed="false">
      <c r="A105" s="9" t="s">
        <v>54</v>
      </c>
      <c r="B105" s="9" t="s">
        <v>48</v>
      </c>
      <c r="C105" s="9" t="s">
        <v>55</v>
      </c>
      <c r="D105" s="9" t="s">
        <v>1215</v>
      </c>
      <c r="E105" s="9" t="s">
        <v>1168</v>
      </c>
      <c r="F105" s="9" t="s">
        <v>1169</v>
      </c>
      <c r="G105" s="9" t="s">
        <v>1216</v>
      </c>
      <c r="H105" s="9" t="s">
        <v>235</v>
      </c>
      <c r="I105" s="9" t="s">
        <v>1171</v>
      </c>
      <c r="J105" s="9" t="s">
        <v>1135</v>
      </c>
      <c r="K105" s="9" t="s">
        <v>1172</v>
      </c>
    </row>
    <row r="106" customFormat="false" ht="22.35" hidden="false" customHeight="false" outlineLevel="0" collapsed="false">
      <c r="A106" s="9" t="s">
        <v>54</v>
      </c>
      <c r="B106" s="9" t="s">
        <v>48</v>
      </c>
      <c r="C106" s="9" t="s">
        <v>55</v>
      </c>
      <c r="D106" s="9" t="s">
        <v>1217</v>
      </c>
      <c r="E106" s="9" t="s">
        <v>1168</v>
      </c>
      <c r="F106" s="9" t="s">
        <v>1169</v>
      </c>
      <c r="G106" s="9" t="s">
        <v>1218</v>
      </c>
      <c r="H106" s="9" t="s">
        <v>235</v>
      </c>
      <c r="I106" s="9" t="s">
        <v>1171</v>
      </c>
      <c r="J106" s="9" t="s">
        <v>1135</v>
      </c>
      <c r="K106" s="9" t="s">
        <v>1172</v>
      </c>
    </row>
    <row r="107" customFormat="false" ht="22.35" hidden="false" customHeight="false" outlineLevel="0" collapsed="false">
      <c r="A107" s="9" t="s">
        <v>54</v>
      </c>
      <c r="B107" s="9" t="s">
        <v>48</v>
      </c>
      <c r="C107" s="9" t="s">
        <v>55</v>
      </c>
      <c r="D107" s="9" t="s">
        <v>1217</v>
      </c>
      <c r="E107" s="9" t="s">
        <v>1168</v>
      </c>
      <c r="F107" s="9" t="s">
        <v>1169</v>
      </c>
      <c r="G107" s="9" t="s">
        <v>1218</v>
      </c>
      <c r="H107" s="9" t="s">
        <v>235</v>
      </c>
      <c r="I107" s="9" t="s">
        <v>1173</v>
      </c>
      <c r="J107" s="9" t="s">
        <v>1135</v>
      </c>
      <c r="K107" s="9" t="s">
        <v>1174</v>
      </c>
    </row>
    <row r="108" customFormat="false" ht="22.35" hidden="false" customHeight="false" outlineLevel="0" collapsed="false">
      <c r="A108" s="9" t="s">
        <v>54</v>
      </c>
      <c r="B108" s="9" t="s">
        <v>48</v>
      </c>
      <c r="C108" s="9" t="s">
        <v>55</v>
      </c>
      <c r="D108" s="9" t="s">
        <v>1217</v>
      </c>
      <c r="E108" s="9" t="s">
        <v>1168</v>
      </c>
      <c r="F108" s="9" t="s">
        <v>1169</v>
      </c>
      <c r="G108" s="9" t="s">
        <v>1218</v>
      </c>
      <c r="H108" s="9" t="s">
        <v>235</v>
      </c>
      <c r="I108" s="9" t="s">
        <v>1175</v>
      </c>
      <c r="J108" s="9" t="s">
        <v>1135</v>
      </c>
      <c r="K108" s="9" t="s">
        <v>1176</v>
      </c>
    </row>
    <row r="109" customFormat="false" ht="22.35" hidden="false" customHeight="false" outlineLevel="0" collapsed="false">
      <c r="A109" s="9" t="s">
        <v>54</v>
      </c>
      <c r="B109" s="9" t="s">
        <v>48</v>
      </c>
      <c r="C109" s="9" t="s">
        <v>55</v>
      </c>
      <c r="D109" s="9" t="s">
        <v>1217</v>
      </c>
      <c r="E109" s="9" t="s">
        <v>1168</v>
      </c>
      <c r="F109" s="9" t="s">
        <v>1169</v>
      </c>
      <c r="G109" s="9" t="s">
        <v>1218</v>
      </c>
      <c r="H109" s="9" t="s">
        <v>235</v>
      </c>
      <c r="I109" s="9" t="s">
        <v>1177</v>
      </c>
      <c r="J109" s="9" t="s">
        <v>1165</v>
      </c>
      <c r="K109" s="9" t="s">
        <v>1178</v>
      </c>
    </row>
    <row r="110" customFormat="false" ht="22.35" hidden="false" customHeight="false" outlineLevel="0" collapsed="false">
      <c r="A110" s="9" t="s">
        <v>54</v>
      </c>
      <c r="B110" s="9" t="s">
        <v>48</v>
      </c>
      <c r="C110" s="9" t="s">
        <v>55</v>
      </c>
      <c r="D110" s="9" t="s">
        <v>1217</v>
      </c>
      <c r="E110" s="9" t="s">
        <v>1168</v>
      </c>
      <c r="F110" s="9" t="s">
        <v>1169</v>
      </c>
      <c r="G110" s="9" t="s">
        <v>1218</v>
      </c>
      <c r="H110" s="9" t="s">
        <v>235</v>
      </c>
      <c r="I110" s="9" t="s">
        <v>1179</v>
      </c>
      <c r="J110" s="9" t="s">
        <v>1165</v>
      </c>
      <c r="K110" s="9" t="s">
        <v>1180</v>
      </c>
    </row>
    <row r="111" customFormat="false" ht="22.35" hidden="false" customHeight="false" outlineLevel="0" collapsed="false">
      <c r="A111" s="9" t="s">
        <v>54</v>
      </c>
      <c r="B111" s="9" t="s">
        <v>48</v>
      </c>
      <c r="C111" s="9" t="s">
        <v>55</v>
      </c>
      <c r="D111" s="9" t="s">
        <v>1217</v>
      </c>
      <c r="E111" s="9" t="s">
        <v>1168</v>
      </c>
      <c r="F111" s="9" t="s">
        <v>1169</v>
      </c>
      <c r="G111" s="9" t="s">
        <v>1218</v>
      </c>
      <c r="H111" s="9" t="s">
        <v>235</v>
      </c>
      <c r="I111" s="9" t="s">
        <v>1157</v>
      </c>
      <c r="J111" s="9" t="s">
        <v>1135</v>
      </c>
      <c r="K111" s="9" t="s">
        <v>1158</v>
      </c>
    </row>
    <row r="112" customFormat="false" ht="22.35" hidden="false" customHeight="false" outlineLevel="0" collapsed="false">
      <c r="A112" s="9" t="s">
        <v>54</v>
      </c>
      <c r="B112" s="9" t="s">
        <v>48</v>
      </c>
      <c r="C112" s="9" t="s">
        <v>55</v>
      </c>
      <c r="D112" s="9" t="s">
        <v>1185</v>
      </c>
      <c r="E112" s="9" t="s">
        <v>1168</v>
      </c>
      <c r="F112" s="9" t="s">
        <v>1169</v>
      </c>
      <c r="G112" s="9" t="s">
        <v>1186</v>
      </c>
      <c r="H112" s="9" t="s">
        <v>235</v>
      </c>
      <c r="I112" s="9" t="s">
        <v>1171</v>
      </c>
      <c r="J112" s="9" t="s">
        <v>1135</v>
      </c>
      <c r="K112" s="9" t="s">
        <v>1172</v>
      </c>
    </row>
    <row r="113" customFormat="false" ht="22.35" hidden="false" customHeight="false" outlineLevel="0" collapsed="false">
      <c r="A113" s="9" t="s">
        <v>54</v>
      </c>
      <c r="B113" s="9" t="s">
        <v>48</v>
      </c>
      <c r="C113" s="9" t="s">
        <v>55</v>
      </c>
      <c r="D113" s="9" t="s">
        <v>1185</v>
      </c>
      <c r="E113" s="9" t="s">
        <v>1168</v>
      </c>
      <c r="F113" s="9" t="s">
        <v>1169</v>
      </c>
      <c r="G113" s="9" t="s">
        <v>1186</v>
      </c>
      <c r="H113" s="9" t="s">
        <v>235</v>
      </c>
      <c r="I113" s="9" t="s">
        <v>1173</v>
      </c>
      <c r="J113" s="9" t="s">
        <v>1135</v>
      </c>
      <c r="K113" s="9" t="s">
        <v>1174</v>
      </c>
    </row>
    <row r="114" customFormat="false" ht="22.35" hidden="false" customHeight="false" outlineLevel="0" collapsed="false">
      <c r="A114" s="9" t="s">
        <v>54</v>
      </c>
      <c r="B114" s="9" t="s">
        <v>48</v>
      </c>
      <c r="C114" s="9" t="s">
        <v>55</v>
      </c>
      <c r="D114" s="9" t="s">
        <v>1185</v>
      </c>
      <c r="E114" s="9" t="s">
        <v>1168</v>
      </c>
      <c r="F114" s="9" t="s">
        <v>1169</v>
      </c>
      <c r="G114" s="9" t="s">
        <v>1186</v>
      </c>
      <c r="H114" s="9" t="s">
        <v>235</v>
      </c>
      <c r="I114" s="9" t="s">
        <v>1175</v>
      </c>
      <c r="J114" s="9" t="s">
        <v>1135</v>
      </c>
      <c r="K114" s="9" t="s">
        <v>1176</v>
      </c>
    </row>
    <row r="115" customFormat="false" ht="22.35" hidden="false" customHeight="false" outlineLevel="0" collapsed="false">
      <c r="A115" s="9" t="s">
        <v>54</v>
      </c>
      <c r="B115" s="9" t="s">
        <v>48</v>
      </c>
      <c r="C115" s="9" t="s">
        <v>55</v>
      </c>
      <c r="D115" s="9" t="s">
        <v>1185</v>
      </c>
      <c r="E115" s="9" t="s">
        <v>1168</v>
      </c>
      <c r="F115" s="9" t="s">
        <v>1169</v>
      </c>
      <c r="G115" s="9" t="s">
        <v>1186</v>
      </c>
      <c r="H115" s="9" t="s">
        <v>235</v>
      </c>
      <c r="I115" s="9" t="s">
        <v>1177</v>
      </c>
      <c r="J115" s="9" t="s">
        <v>1165</v>
      </c>
      <c r="K115" s="9" t="s">
        <v>1178</v>
      </c>
    </row>
    <row r="116" customFormat="false" ht="22.35" hidden="false" customHeight="false" outlineLevel="0" collapsed="false">
      <c r="A116" s="9" t="s">
        <v>54</v>
      </c>
      <c r="B116" s="9" t="s">
        <v>48</v>
      </c>
      <c r="C116" s="9" t="s">
        <v>55</v>
      </c>
      <c r="D116" s="9" t="s">
        <v>1185</v>
      </c>
      <c r="E116" s="9" t="s">
        <v>1168</v>
      </c>
      <c r="F116" s="9" t="s">
        <v>1169</v>
      </c>
      <c r="G116" s="9" t="s">
        <v>1186</v>
      </c>
      <c r="H116" s="9" t="s">
        <v>235</v>
      </c>
      <c r="I116" s="9" t="s">
        <v>1179</v>
      </c>
      <c r="J116" s="9" t="s">
        <v>1165</v>
      </c>
      <c r="K116" s="9" t="s">
        <v>1180</v>
      </c>
    </row>
    <row r="117" customFormat="false" ht="22.35" hidden="false" customHeight="false" outlineLevel="0" collapsed="false">
      <c r="A117" s="9" t="s">
        <v>54</v>
      </c>
      <c r="B117" s="9" t="s">
        <v>48</v>
      </c>
      <c r="C117" s="9" t="s">
        <v>55</v>
      </c>
      <c r="D117" s="9" t="s">
        <v>1185</v>
      </c>
      <c r="E117" s="9" t="s">
        <v>1168</v>
      </c>
      <c r="F117" s="9" t="s">
        <v>1169</v>
      </c>
      <c r="G117" s="9" t="s">
        <v>1186</v>
      </c>
      <c r="H117" s="9" t="s">
        <v>235</v>
      </c>
      <c r="I117" s="9" t="s">
        <v>1187</v>
      </c>
      <c r="J117" s="9" t="s">
        <v>1135</v>
      </c>
      <c r="K117" s="9" t="s">
        <v>1188</v>
      </c>
    </row>
    <row r="118" customFormat="false" ht="15" hidden="false" customHeight="false" outlineLevel="0" collapsed="false">
      <c r="A118" s="9" t="s">
        <v>58</v>
      </c>
      <c r="B118" s="9" t="s">
        <v>48</v>
      </c>
      <c r="C118" s="9" t="s">
        <v>59</v>
      </c>
      <c r="D118" s="9" t="s">
        <v>1211</v>
      </c>
      <c r="E118" s="9" t="s">
        <v>1168</v>
      </c>
      <c r="F118" s="9" t="s">
        <v>1169</v>
      </c>
      <c r="G118" s="9" t="s">
        <v>1212</v>
      </c>
      <c r="H118" s="9" t="s">
        <v>235</v>
      </c>
      <c r="I118" s="9" t="s">
        <v>1177</v>
      </c>
      <c r="J118" s="9" t="s">
        <v>1165</v>
      </c>
      <c r="K118" s="9" t="s">
        <v>1178</v>
      </c>
    </row>
    <row r="119" customFormat="false" ht="15" hidden="false" customHeight="false" outlineLevel="0" collapsed="false">
      <c r="A119" s="9" t="s">
        <v>58</v>
      </c>
      <c r="B119" s="9" t="s">
        <v>48</v>
      </c>
      <c r="C119" s="9" t="s">
        <v>59</v>
      </c>
      <c r="D119" s="9" t="s">
        <v>1211</v>
      </c>
      <c r="E119" s="9" t="s">
        <v>1168</v>
      </c>
      <c r="F119" s="9" t="s">
        <v>1169</v>
      </c>
      <c r="G119" s="9" t="s">
        <v>1212</v>
      </c>
      <c r="H119" s="9" t="s">
        <v>235</v>
      </c>
      <c r="I119" s="9" t="s">
        <v>1171</v>
      </c>
      <c r="J119" s="9" t="s">
        <v>1135</v>
      </c>
      <c r="K119" s="9" t="s">
        <v>1172</v>
      </c>
    </row>
    <row r="120" customFormat="false" ht="15" hidden="false" customHeight="false" outlineLevel="0" collapsed="false">
      <c r="A120" s="9" t="s">
        <v>58</v>
      </c>
      <c r="B120" s="9" t="s">
        <v>48</v>
      </c>
      <c r="C120" s="9" t="s">
        <v>59</v>
      </c>
      <c r="D120" s="9" t="s">
        <v>1189</v>
      </c>
      <c r="E120" s="9" t="s">
        <v>1168</v>
      </c>
      <c r="F120" s="9" t="s">
        <v>1169</v>
      </c>
      <c r="G120" s="9" t="s">
        <v>1190</v>
      </c>
      <c r="H120" s="9" t="s">
        <v>235</v>
      </c>
      <c r="I120" s="9" t="s">
        <v>1171</v>
      </c>
      <c r="J120" s="9" t="s">
        <v>1135</v>
      </c>
      <c r="K120" s="9" t="s">
        <v>1172</v>
      </c>
    </row>
    <row r="121" customFormat="false" ht="15" hidden="false" customHeight="false" outlineLevel="0" collapsed="false">
      <c r="A121" s="9" t="s">
        <v>58</v>
      </c>
      <c r="B121" s="9" t="s">
        <v>48</v>
      </c>
      <c r="C121" s="9" t="s">
        <v>59</v>
      </c>
      <c r="D121" s="9" t="s">
        <v>1189</v>
      </c>
      <c r="E121" s="9" t="s">
        <v>1168</v>
      </c>
      <c r="F121" s="9" t="s">
        <v>1169</v>
      </c>
      <c r="G121" s="9" t="s">
        <v>1190</v>
      </c>
      <c r="H121" s="9" t="s">
        <v>235</v>
      </c>
      <c r="I121" s="9" t="s">
        <v>1173</v>
      </c>
      <c r="J121" s="9" t="s">
        <v>1135</v>
      </c>
      <c r="K121" s="9" t="s">
        <v>1174</v>
      </c>
    </row>
    <row r="122" customFormat="false" ht="15" hidden="false" customHeight="false" outlineLevel="0" collapsed="false">
      <c r="A122" s="9" t="s">
        <v>58</v>
      </c>
      <c r="B122" s="9" t="s">
        <v>48</v>
      </c>
      <c r="C122" s="9" t="s">
        <v>59</v>
      </c>
      <c r="D122" s="9" t="s">
        <v>1189</v>
      </c>
      <c r="E122" s="9" t="s">
        <v>1168</v>
      </c>
      <c r="F122" s="9" t="s">
        <v>1169</v>
      </c>
      <c r="G122" s="9" t="s">
        <v>1190</v>
      </c>
      <c r="H122" s="9" t="s">
        <v>235</v>
      </c>
      <c r="I122" s="9" t="s">
        <v>1175</v>
      </c>
      <c r="J122" s="9" t="s">
        <v>1135</v>
      </c>
      <c r="K122" s="9" t="s">
        <v>1176</v>
      </c>
    </row>
    <row r="123" customFormat="false" ht="15" hidden="false" customHeight="false" outlineLevel="0" collapsed="false">
      <c r="A123" s="9" t="s">
        <v>58</v>
      </c>
      <c r="B123" s="9" t="s">
        <v>48</v>
      </c>
      <c r="C123" s="9" t="s">
        <v>59</v>
      </c>
      <c r="D123" s="9" t="s">
        <v>1189</v>
      </c>
      <c r="E123" s="9" t="s">
        <v>1168</v>
      </c>
      <c r="F123" s="9" t="s">
        <v>1169</v>
      </c>
      <c r="G123" s="9" t="s">
        <v>1190</v>
      </c>
      <c r="H123" s="9" t="s">
        <v>235</v>
      </c>
      <c r="I123" s="9" t="s">
        <v>1177</v>
      </c>
      <c r="J123" s="9" t="s">
        <v>1165</v>
      </c>
      <c r="K123" s="9" t="s">
        <v>1178</v>
      </c>
    </row>
    <row r="124" customFormat="false" ht="15" hidden="false" customHeight="false" outlineLevel="0" collapsed="false">
      <c r="A124" s="9" t="s">
        <v>58</v>
      </c>
      <c r="B124" s="9" t="s">
        <v>48</v>
      </c>
      <c r="C124" s="9" t="s">
        <v>59</v>
      </c>
      <c r="D124" s="9" t="s">
        <v>1189</v>
      </c>
      <c r="E124" s="9" t="s">
        <v>1168</v>
      </c>
      <c r="F124" s="9" t="s">
        <v>1169</v>
      </c>
      <c r="G124" s="9" t="s">
        <v>1190</v>
      </c>
      <c r="H124" s="9" t="s">
        <v>235</v>
      </c>
      <c r="I124" s="9" t="s">
        <v>1179</v>
      </c>
      <c r="J124" s="9" t="s">
        <v>1165</v>
      </c>
      <c r="K124" s="9" t="s">
        <v>1180</v>
      </c>
    </row>
    <row r="125" customFormat="false" ht="15" hidden="false" customHeight="false" outlineLevel="0" collapsed="false">
      <c r="A125" s="9" t="s">
        <v>61</v>
      </c>
      <c r="B125" s="9" t="s">
        <v>48</v>
      </c>
      <c r="C125" s="9" t="s">
        <v>62</v>
      </c>
      <c r="D125" s="9" t="s">
        <v>1219</v>
      </c>
      <c r="E125" s="9" t="s">
        <v>1168</v>
      </c>
      <c r="F125" s="9" t="s">
        <v>1169</v>
      </c>
      <c r="G125" s="9" t="s">
        <v>1220</v>
      </c>
      <c r="H125" s="9" t="s">
        <v>235</v>
      </c>
      <c r="I125" s="9" t="s">
        <v>1171</v>
      </c>
      <c r="J125" s="9" t="s">
        <v>1135</v>
      </c>
      <c r="K125" s="9" t="s">
        <v>1172</v>
      </c>
    </row>
    <row r="126" customFormat="false" ht="15" hidden="false" customHeight="false" outlineLevel="0" collapsed="false">
      <c r="A126" s="9" t="s">
        <v>61</v>
      </c>
      <c r="B126" s="9" t="s">
        <v>48</v>
      </c>
      <c r="C126" s="9" t="s">
        <v>62</v>
      </c>
      <c r="D126" s="9" t="s">
        <v>1219</v>
      </c>
      <c r="E126" s="9" t="s">
        <v>1168</v>
      </c>
      <c r="F126" s="9" t="s">
        <v>1169</v>
      </c>
      <c r="G126" s="9" t="s">
        <v>1220</v>
      </c>
      <c r="H126" s="9" t="s">
        <v>235</v>
      </c>
      <c r="I126" s="9" t="s">
        <v>1173</v>
      </c>
      <c r="J126" s="9" t="s">
        <v>1135</v>
      </c>
      <c r="K126" s="9" t="s">
        <v>1174</v>
      </c>
    </row>
    <row r="127" customFormat="false" ht="15" hidden="false" customHeight="false" outlineLevel="0" collapsed="false">
      <c r="A127" s="9" t="s">
        <v>61</v>
      </c>
      <c r="B127" s="9" t="s">
        <v>48</v>
      </c>
      <c r="C127" s="9" t="s">
        <v>62</v>
      </c>
      <c r="D127" s="9" t="s">
        <v>1219</v>
      </c>
      <c r="E127" s="9" t="s">
        <v>1168</v>
      </c>
      <c r="F127" s="9" t="s">
        <v>1169</v>
      </c>
      <c r="G127" s="9" t="s">
        <v>1220</v>
      </c>
      <c r="H127" s="9" t="s">
        <v>235</v>
      </c>
      <c r="I127" s="9" t="s">
        <v>1175</v>
      </c>
      <c r="J127" s="9" t="s">
        <v>1135</v>
      </c>
      <c r="K127" s="9" t="s">
        <v>1176</v>
      </c>
    </row>
    <row r="128" customFormat="false" ht="15" hidden="false" customHeight="false" outlineLevel="0" collapsed="false">
      <c r="A128" s="9" t="s">
        <v>61</v>
      </c>
      <c r="B128" s="9" t="s">
        <v>48</v>
      </c>
      <c r="C128" s="9" t="s">
        <v>62</v>
      </c>
      <c r="D128" s="9" t="s">
        <v>1219</v>
      </c>
      <c r="E128" s="9" t="s">
        <v>1168</v>
      </c>
      <c r="F128" s="9" t="s">
        <v>1169</v>
      </c>
      <c r="G128" s="9" t="s">
        <v>1220</v>
      </c>
      <c r="H128" s="9" t="s">
        <v>235</v>
      </c>
      <c r="I128" s="9" t="s">
        <v>1177</v>
      </c>
      <c r="J128" s="9" t="s">
        <v>1165</v>
      </c>
      <c r="K128" s="9" t="s">
        <v>1178</v>
      </c>
    </row>
    <row r="129" customFormat="false" ht="15" hidden="false" customHeight="false" outlineLevel="0" collapsed="false">
      <c r="A129" s="9" t="s">
        <v>61</v>
      </c>
      <c r="B129" s="9" t="s">
        <v>48</v>
      </c>
      <c r="C129" s="9" t="s">
        <v>62</v>
      </c>
      <c r="D129" s="9" t="s">
        <v>1219</v>
      </c>
      <c r="E129" s="9" t="s">
        <v>1168</v>
      </c>
      <c r="F129" s="9" t="s">
        <v>1169</v>
      </c>
      <c r="G129" s="9" t="s">
        <v>1220</v>
      </c>
      <c r="H129" s="9" t="s">
        <v>235</v>
      </c>
      <c r="I129" s="9" t="s">
        <v>1179</v>
      </c>
      <c r="J129" s="9" t="s">
        <v>1165</v>
      </c>
      <c r="K129" s="9" t="s">
        <v>1180</v>
      </c>
    </row>
    <row r="130" customFormat="false" ht="15" hidden="false" customHeight="false" outlineLevel="0" collapsed="false">
      <c r="A130" s="9" t="s">
        <v>61</v>
      </c>
      <c r="B130" s="9" t="s">
        <v>48</v>
      </c>
      <c r="C130" s="9" t="s">
        <v>62</v>
      </c>
      <c r="D130" s="9" t="s">
        <v>1189</v>
      </c>
      <c r="E130" s="9" t="s">
        <v>1168</v>
      </c>
      <c r="F130" s="9" t="s">
        <v>1169</v>
      </c>
      <c r="G130" s="9" t="s">
        <v>1190</v>
      </c>
      <c r="H130" s="9" t="s">
        <v>235</v>
      </c>
      <c r="I130" s="9" t="s">
        <v>1171</v>
      </c>
      <c r="J130" s="9" t="s">
        <v>1135</v>
      </c>
      <c r="K130" s="9" t="s">
        <v>1172</v>
      </c>
    </row>
    <row r="131" customFormat="false" ht="15" hidden="false" customHeight="false" outlineLevel="0" collapsed="false">
      <c r="A131" s="9" t="s">
        <v>61</v>
      </c>
      <c r="B131" s="9" t="s">
        <v>48</v>
      </c>
      <c r="C131" s="9" t="s">
        <v>62</v>
      </c>
      <c r="D131" s="9" t="s">
        <v>1189</v>
      </c>
      <c r="E131" s="9" t="s">
        <v>1168</v>
      </c>
      <c r="F131" s="9" t="s">
        <v>1169</v>
      </c>
      <c r="G131" s="9" t="s">
        <v>1190</v>
      </c>
      <c r="H131" s="9" t="s">
        <v>235</v>
      </c>
      <c r="I131" s="9" t="s">
        <v>1173</v>
      </c>
      <c r="J131" s="9" t="s">
        <v>1135</v>
      </c>
      <c r="K131" s="9" t="s">
        <v>1174</v>
      </c>
    </row>
    <row r="132" customFormat="false" ht="15" hidden="false" customHeight="false" outlineLevel="0" collapsed="false">
      <c r="A132" s="9" t="s">
        <v>61</v>
      </c>
      <c r="B132" s="9" t="s">
        <v>48</v>
      </c>
      <c r="C132" s="9" t="s">
        <v>62</v>
      </c>
      <c r="D132" s="9" t="s">
        <v>1189</v>
      </c>
      <c r="E132" s="9" t="s">
        <v>1168</v>
      </c>
      <c r="F132" s="9" t="s">
        <v>1169</v>
      </c>
      <c r="G132" s="9" t="s">
        <v>1190</v>
      </c>
      <c r="H132" s="9" t="s">
        <v>235</v>
      </c>
      <c r="I132" s="9" t="s">
        <v>1175</v>
      </c>
      <c r="J132" s="9" t="s">
        <v>1135</v>
      </c>
      <c r="K132" s="9" t="s">
        <v>1176</v>
      </c>
    </row>
    <row r="133" customFormat="false" ht="15" hidden="false" customHeight="false" outlineLevel="0" collapsed="false">
      <c r="A133" s="9" t="s">
        <v>61</v>
      </c>
      <c r="B133" s="9" t="s">
        <v>48</v>
      </c>
      <c r="C133" s="9" t="s">
        <v>62</v>
      </c>
      <c r="D133" s="9" t="s">
        <v>1189</v>
      </c>
      <c r="E133" s="9" t="s">
        <v>1168</v>
      </c>
      <c r="F133" s="9" t="s">
        <v>1169</v>
      </c>
      <c r="G133" s="9" t="s">
        <v>1190</v>
      </c>
      <c r="H133" s="9" t="s">
        <v>235</v>
      </c>
      <c r="I133" s="9" t="s">
        <v>1177</v>
      </c>
      <c r="J133" s="9" t="s">
        <v>1165</v>
      </c>
      <c r="K133" s="9" t="s">
        <v>1178</v>
      </c>
    </row>
    <row r="134" customFormat="false" ht="15" hidden="false" customHeight="false" outlineLevel="0" collapsed="false">
      <c r="A134" s="9" t="s">
        <v>61</v>
      </c>
      <c r="B134" s="9" t="s">
        <v>48</v>
      </c>
      <c r="C134" s="9" t="s">
        <v>62</v>
      </c>
      <c r="D134" s="9" t="s">
        <v>1189</v>
      </c>
      <c r="E134" s="9" t="s">
        <v>1168</v>
      </c>
      <c r="F134" s="9" t="s">
        <v>1169</v>
      </c>
      <c r="G134" s="9" t="s">
        <v>1190</v>
      </c>
      <c r="H134" s="9" t="s">
        <v>235</v>
      </c>
      <c r="I134" s="9" t="s">
        <v>1179</v>
      </c>
      <c r="J134" s="9" t="s">
        <v>1165</v>
      </c>
      <c r="K134" s="9" t="s">
        <v>1180</v>
      </c>
    </row>
    <row r="135" customFormat="false" ht="15" hidden="false" customHeight="false" outlineLevel="0" collapsed="false">
      <c r="A135" s="9" t="s">
        <v>61</v>
      </c>
      <c r="B135" s="9" t="s">
        <v>48</v>
      </c>
      <c r="C135" s="9" t="s">
        <v>62</v>
      </c>
      <c r="D135" s="9" t="s">
        <v>1221</v>
      </c>
      <c r="E135" s="9" t="s">
        <v>1131</v>
      </c>
      <c r="F135" s="9" t="s">
        <v>1222</v>
      </c>
      <c r="G135" s="9" t="s">
        <v>1223</v>
      </c>
      <c r="H135" s="9" t="s">
        <v>1224</v>
      </c>
      <c r="I135" s="9" t="s">
        <v>1225</v>
      </c>
      <c r="J135" s="9" t="s">
        <v>1135</v>
      </c>
      <c r="K135" s="9" t="s">
        <v>1226</v>
      </c>
    </row>
    <row r="136" customFormat="false" ht="22.35" hidden="false" customHeight="false" outlineLevel="0" collapsed="false">
      <c r="A136" s="9" t="s">
        <v>61</v>
      </c>
      <c r="B136" s="9" t="s">
        <v>48</v>
      </c>
      <c r="C136" s="9" t="s">
        <v>62</v>
      </c>
      <c r="D136" s="9" t="s">
        <v>1221</v>
      </c>
      <c r="E136" s="9" t="s">
        <v>1131</v>
      </c>
      <c r="F136" s="9" t="s">
        <v>1222</v>
      </c>
      <c r="G136" s="9" t="s">
        <v>1223</v>
      </c>
      <c r="H136" s="9" t="s">
        <v>1224</v>
      </c>
      <c r="I136" s="9" t="s">
        <v>1227</v>
      </c>
      <c r="J136" s="9" t="s">
        <v>1165</v>
      </c>
      <c r="K136" s="9" t="s">
        <v>1228</v>
      </c>
    </row>
    <row r="137" customFormat="false" ht="22.35" hidden="false" customHeight="false" outlineLevel="0" collapsed="false">
      <c r="A137" s="9" t="s">
        <v>61</v>
      </c>
      <c r="B137" s="9" t="s">
        <v>48</v>
      </c>
      <c r="C137" s="9" t="s">
        <v>62</v>
      </c>
      <c r="D137" s="9" t="s">
        <v>1221</v>
      </c>
      <c r="E137" s="9" t="s">
        <v>1131</v>
      </c>
      <c r="F137" s="9" t="s">
        <v>1222</v>
      </c>
      <c r="G137" s="9" t="s">
        <v>1223</v>
      </c>
      <c r="H137" s="9" t="s">
        <v>1224</v>
      </c>
      <c r="I137" s="9" t="s">
        <v>1164</v>
      </c>
      <c r="J137" s="9" t="s">
        <v>1165</v>
      </c>
      <c r="K137" s="9" t="s">
        <v>1166</v>
      </c>
    </row>
    <row r="138" customFormat="false" ht="22.35" hidden="false" customHeight="false" outlineLevel="0" collapsed="false">
      <c r="A138" s="9" t="s">
        <v>64</v>
      </c>
      <c r="B138" s="9" t="s">
        <v>48</v>
      </c>
      <c r="C138" s="9" t="s">
        <v>65</v>
      </c>
      <c r="D138" s="9" t="s">
        <v>1203</v>
      </c>
      <c r="E138" s="9" t="s">
        <v>1204</v>
      </c>
      <c r="F138" s="9" t="s">
        <v>1205</v>
      </c>
      <c r="G138" s="9" t="s">
        <v>1206</v>
      </c>
      <c r="H138" s="9" t="s">
        <v>314</v>
      </c>
      <c r="I138" s="9" t="s">
        <v>1164</v>
      </c>
      <c r="J138" s="9" t="s">
        <v>1165</v>
      </c>
      <c r="K138" s="9" t="s">
        <v>1166</v>
      </c>
    </row>
    <row r="139" customFormat="false" ht="15" hidden="false" customHeight="false" outlineLevel="0" collapsed="false">
      <c r="A139" s="9" t="s">
        <v>64</v>
      </c>
      <c r="B139" s="9" t="s">
        <v>48</v>
      </c>
      <c r="C139" s="9" t="s">
        <v>65</v>
      </c>
      <c r="D139" s="9" t="s">
        <v>1203</v>
      </c>
      <c r="E139" s="9" t="s">
        <v>1204</v>
      </c>
      <c r="F139" s="9" t="s">
        <v>1205</v>
      </c>
      <c r="G139" s="9" t="s">
        <v>1206</v>
      </c>
      <c r="H139" s="9" t="s">
        <v>314</v>
      </c>
      <c r="I139" s="9" t="s">
        <v>1207</v>
      </c>
      <c r="J139" s="9" t="s">
        <v>1135</v>
      </c>
      <c r="K139" s="9" t="s">
        <v>1208</v>
      </c>
    </row>
    <row r="140" customFormat="false" ht="15" hidden="false" customHeight="false" outlineLevel="0" collapsed="false">
      <c r="A140" s="9" t="s">
        <v>64</v>
      </c>
      <c r="B140" s="9" t="s">
        <v>48</v>
      </c>
      <c r="C140" s="9" t="s">
        <v>65</v>
      </c>
      <c r="D140" s="9" t="s">
        <v>1185</v>
      </c>
      <c r="E140" s="9" t="s">
        <v>1168</v>
      </c>
      <c r="F140" s="9" t="s">
        <v>1169</v>
      </c>
      <c r="G140" s="9" t="s">
        <v>1186</v>
      </c>
      <c r="H140" s="9" t="s">
        <v>235</v>
      </c>
      <c r="I140" s="9" t="s">
        <v>1171</v>
      </c>
      <c r="J140" s="9" t="s">
        <v>1135</v>
      </c>
      <c r="K140" s="9" t="s">
        <v>1172</v>
      </c>
    </row>
    <row r="141" customFormat="false" ht="15" hidden="false" customHeight="false" outlineLevel="0" collapsed="false">
      <c r="A141" s="9" t="s">
        <v>64</v>
      </c>
      <c r="B141" s="9" t="s">
        <v>48</v>
      </c>
      <c r="C141" s="9" t="s">
        <v>65</v>
      </c>
      <c r="D141" s="9" t="s">
        <v>1185</v>
      </c>
      <c r="E141" s="9" t="s">
        <v>1168</v>
      </c>
      <c r="F141" s="9" t="s">
        <v>1169</v>
      </c>
      <c r="G141" s="9" t="s">
        <v>1186</v>
      </c>
      <c r="H141" s="9" t="s">
        <v>235</v>
      </c>
      <c r="I141" s="9" t="s">
        <v>1173</v>
      </c>
      <c r="J141" s="9" t="s">
        <v>1135</v>
      </c>
      <c r="K141" s="9" t="s">
        <v>1174</v>
      </c>
    </row>
    <row r="142" customFormat="false" ht="15" hidden="false" customHeight="false" outlineLevel="0" collapsed="false">
      <c r="A142" s="9" t="s">
        <v>64</v>
      </c>
      <c r="B142" s="9" t="s">
        <v>48</v>
      </c>
      <c r="C142" s="9" t="s">
        <v>65</v>
      </c>
      <c r="D142" s="9" t="s">
        <v>1185</v>
      </c>
      <c r="E142" s="9" t="s">
        <v>1168</v>
      </c>
      <c r="F142" s="9" t="s">
        <v>1169</v>
      </c>
      <c r="G142" s="9" t="s">
        <v>1186</v>
      </c>
      <c r="H142" s="9" t="s">
        <v>235</v>
      </c>
      <c r="I142" s="9" t="s">
        <v>1175</v>
      </c>
      <c r="J142" s="9" t="s">
        <v>1135</v>
      </c>
      <c r="K142" s="9" t="s">
        <v>1176</v>
      </c>
    </row>
    <row r="143" customFormat="false" ht="15" hidden="false" customHeight="false" outlineLevel="0" collapsed="false">
      <c r="A143" s="9" t="s">
        <v>64</v>
      </c>
      <c r="B143" s="9" t="s">
        <v>48</v>
      </c>
      <c r="C143" s="9" t="s">
        <v>65</v>
      </c>
      <c r="D143" s="9" t="s">
        <v>1185</v>
      </c>
      <c r="E143" s="9" t="s">
        <v>1168</v>
      </c>
      <c r="F143" s="9" t="s">
        <v>1169</v>
      </c>
      <c r="G143" s="9" t="s">
        <v>1186</v>
      </c>
      <c r="H143" s="9" t="s">
        <v>235</v>
      </c>
      <c r="I143" s="9" t="s">
        <v>1177</v>
      </c>
      <c r="J143" s="9" t="s">
        <v>1165</v>
      </c>
      <c r="K143" s="9" t="s">
        <v>1178</v>
      </c>
    </row>
    <row r="144" customFormat="false" ht="15" hidden="false" customHeight="false" outlineLevel="0" collapsed="false">
      <c r="A144" s="9" t="s">
        <v>64</v>
      </c>
      <c r="B144" s="9" t="s">
        <v>48</v>
      </c>
      <c r="C144" s="9" t="s">
        <v>65</v>
      </c>
      <c r="D144" s="9" t="s">
        <v>1185</v>
      </c>
      <c r="E144" s="9" t="s">
        <v>1168</v>
      </c>
      <c r="F144" s="9" t="s">
        <v>1169</v>
      </c>
      <c r="G144" s="9" t="s">
        <v>1186</v>
      </c>
      <c r="H144" s="9" t="s">
        <v>235</v>
      </c>
      <c r="I144" s="9" t="s">
        <v>1179</v>
      </c>
      <c r="J144" s="9" t="s">
        <v>1165</v>
      </c>
      <c r="K144" s="9" t="s">
        <v>1180</v>
      </c>
    </row>
    <row r="145" customFormat="false" ht="15" hidden="false" customHeight="false" outlineLevel="0" collapsed="false">
      <c r="A145" s="9" t="s">
        <v>64</v>
      </c>
      <c r="B145" s="9" t="s">
        <v>48</v>
      </c>
      <c r="C145" s="9" t="s">
        <v>65</v>
      </c>
      <c r="D145" s="9" t="s">
        <v>1185</v>
      </c>
      <c r="E145" s="9" t="s">
        <v>1168</v>
      </c>
      <c r="F145" s="9" t="s">
        <v>1169</v>
      </c>
      <c r="G145" s="9" t="s">
        <v>1186</v>
      </c>
      <c r="H145" s="9" t="s">
        <v>235</v>
      </c>
      <c r="I145" s="9" t="s">
        <v>1187</v>
      </c>
      <c r="J145" s="9" t="s">
        <v>1135</v>
      </c>
      <c r="K145" s="9" t="s">
        <v>1188</v>
      </c>
    </row>
    <row r="146" customFormat="false" ht="15" hidden="false" customHeight="false" outlineLevel="0" collapsed="false">
      <c r="A146" s="9" t="s">
        <v>64</v>
      </c>
      <c r="B146" s="9" t="s">
        <v>48</v>
      </c>
      <c r="C146" s="9" t="s">
        <v>65</v>
      </c>
      <c r="D146" s="9" t="s">
        <v>1229</v>
      </c>
      <c r="E146" s="9" t="s">
        <v>1168</v>
      </c>
      <c r="F146" s="9" t="s">
        <v>1197</v>
      </c>
      <c r="G146" s="9" t="s">
        <v>1230</v>
      </c>
      <c r="H146" s="9" t="s">
        <v>327</v>
      </c>
      <c r="I146" s="9" t="s">
        <v>1171</v>
      </c>
      <c r="J146" s="9" t="s">
        <v>1135</v>
      </c>
      <c r="K146" s="9" t="s">
        <v>1172</v>
      </c>
    </row>
    <row r="147" customFormat="false" ht="15" hidden="false" customHeight="false" outlineLevel="0" collapsed="false">
      <c r="A147" s="9" t="s">
        <v>64</v>
      </c>
      <c r="B147" s="9" t="s">
        <v>48</v>
      </c>
      <c r="C147" s="9" t="s">
        <v>65</v>
      </c>
      <c r="D147" s="9" t="s">
        <v>1229</v>
      </c>
      <c r="E147" s="9" t="s">
        <v>1168</v>
      </c>
      <c r="F147" s="9" t="s">
        <v>1197</v>
      </c>
      <c r="G147" s="9" t="s">
        <v>1230</v>
      </c>
      <c r="H147" s="9" t="s">
        <v>327</v>
      </c>
      <c r="I147" s="9" t="s">
        <v>1173</v>
      </c>
      <c r="J147" s="9" t="s">
        <v>1135</v>
      </c>
      <c r="K147" s="9" t="s">
        <v>1174</v>
      </c>
    </row>
    <row r="148" customFormat="false" ht="15" hidden="false" customHeight="false" outlineLevel="0" collapsed="false">
      <c r="A148" s="9" t="s">
        <v>64</v>
      </c>
      <c r="B148" s="9" t="s">
        <v>48</v>
      </c>
      <c r="C148" s="9" t="s">
        <v>65</v>
      </c>
      <c r="D148" s="9" t="s">
        <v>1229</v>
      </c>
      <c r="E148" s="9" t="s">
        <v>1168</v>
      </c>
      <c r="F148" s="9" t="s">
        <v>1197</v>
      </c>
      <c r="G148" s="9" t="s">
        <v>1230</v>
      </c>
      <c r="H148" s="9" t="s">
        <v>327</v>
      </c>
      <c r="I148" s="9" t="s">
        <v>1175</v>
      </c>
      <c r="J148" s="9" t="s">
        <v>1135</v>
      </c>
      <c r="K148" s="9" t="s">
        <v>1176</v>
      </c>
    </row>
    <row r="149" customFormat="false" ht="15" hidden="false" customHeight="false" outlineLevel="0" collapsed="false">
      <c r="A149" s="9" t="s">
        <v>64</v>
      </c>
      <c r="B149" s="9" t="s">
        <v>48</v>
      </c>
      <c r="C149" s="9" t="s">
        <v>65</v>
      </c>
      <c r="D149" s="9" t="s">
        <v>1229</v>
      </c>
      <c r="E149" s="9" t="s">
        <v>1168</v>
      </c>
      <c r="F149" s="9" t="s">
        <v>1197</v>
      </c>
      <c r="G149" s="9" t="s">
        <v>1230</v>
      </c>
      <c r="H149" s="9" t="s">
        <v>327</v>
      </c>
      <c r="I149" s="9" t="s">
        <v>1177</v>
      </c>
      <c r="J149" s="9" t="s">
        <v>1165</v>
      </c>
      <c r="K149" s="9" t="s">
        <v>1178</v>
      </c>
    </row>
    <row r="150" customFormat="false" ht="15" hidden="false" customHeight="false" outlineLevel="0" collapsed="false">
      <c r="A150" s="9" t="s">
        <v>64</v>
      </c>
      <c r="B150" s="9" t="s">
        <v>48</v>
      </c>
      <c r="C150" s="9" t="s">
        <v>65</v>
      </c>
      <c r="D150" s="9" t="s">
        <v>1229</v>
      </c>
      <c r="E150" s="9" t="s">
        <v>1168</v>
      </c>
      <c r="F150" s="9" t="s">
        <v>1197</v>
      </c>
      <c r="G150" s="9" t="s">
        <v>1230</v>
      </c>
      <c r="H150" s="9" t="s">
        <v>327</v>
      </c>
      <c r="I150" s="9" t="s">
        <v>1179</v>
      </c>
      <c r="J150" s="9" t="s">
        <v>1165</v>
      </c>
      <c r="K150" s="9" t="s">
        <v>1180</v>
      </c>
    </row>
    <row r="151" customFormat="false" ht="22.35" hidden="false" customHeight="false" outlineLevel="0" collapsed="false">
      <c r="A151" s="9" t="s">
        <v>64</v>
      </c>
      <c r="B151" s="9" t="s">
        <v>48</v>
      </c>
      <c r="C151" s="9" t="s">
        <v>65</v>
      </c>
      <c r="D151" s="9" t="s">
        <v>1229</v>
      </c>
      <c r="E151" s="9" t="s">
        <v>1168</v>
      </c>
      <c r="F151" s="9" t="s">
        <v>1197</v>
      </c>
      <c r="G151" s="9" t="s">
        <v>1230</v>
      </c>
      <c r="H151" s="9" t="s">
        <v>327</v>
      </c>
      <c r="I151" s="9" t="s">
        <v>1157</v>
      </c>
      <c r="J151" s="9" t="s">
        <v>1135</v>
      </c>
      <c r="K151" s="9" t="s">
        <v>1158</v>
      </c>
    </row>
    <row r="152" customFormat="false" ht="15" hidden="false" customHeight="false" outlineLevel="0" collapsed="false">
      <c r="A152" s="9" t="s">
        <v>64</v>
      </c>
      <c r="B152" s="9" t="s">
        <v>48</v>
      </c>
      <c r="C152" s="9" t="s">
        <v>65</v>
      </c>
      <c r="D152" s="9" t="s">
        <v>1231</v>
      </c>
      <c r="E152" s="9" t="s">
        <v>1204</v>
      </c>
      <c r="F152" s="9" t="s">
        <v>1205</v>
      </c>
      <c r="G152" s="9" t="s">
        <v>1232</v>
      </c>
      <c r="H152" s="9" t="s">
        <v>314</v>
      </c>
      <c r="I152" s="9" t="s">
        <v>1233</v>
      </c>
      <c r="J152" s="9" t="s">
        <v>1160</v>
      </c>
      <c r="K152" s="9" t="s">
        <v>1234</v>
      </c>
    </row>
    <row r="153" customFormat="false" ht="22.35" hidden="false" customHeight="false" outlineLevel="0" collapsed="false">
      <c r="A153" s="9" t="s">
        <v>64</v>
      </c>
      <c r="B153" s="9" t="s">
        <v>48</v>
      </c>
      <c r="C153" s="9" t="s">
        <v>65</v>
      </c>
      <c r="D153" s="9" t="s">
        <v>1231</v>
      </c>
      <c r="E153" s="9" t="s">
        <v>1204</v>
      </c>
      <c r="F153" s="9" t="s">
        <v>1205</v>
      </c>
      <c r="G153" s="9" t="s">
        <v>1232</v>
      </c>
      <c r="H153" s="9" t="s">
        <v>314</v>
      </c>
      <c r="I153" s="9" t="s">
        <v>1235</v>
      </c>
      <c r="J153" s="9" t="s">
        <v>1160</v>
      </c>
      <c r="K153" s="9" t="s">
        <v>1236</v>
      </c>
    </row>
    <row r="154" customFormat="false" ht="15" hidden="false" customHeight="false" outlineLevel="0" collapsed="false">
      <c r="A154" s="9" t="s">
        <v>64</v>
      </c>
      <c r="B154" s="9" t="s">
        <v>48</v>
      </c>
      <c r="C154" s="9" t="s">
        <v>65</v>
      </c>
      <c r="D154" s="9" t="s">
        <v>1231</v>
      </c>
      <c r="E154" s="9" t="s">
        <v>1204</v>
      </c>
      <c r="F154" s="9" t="s">
        <v>1205</v>
      </c>
      <c r="G154" s="9" t="s">
        <v>1232</v>
      </c>
      <c r="H154" s="9" t="s">
        <v>314</v>
      </c>
      <c r="I154" s="9" t="s">
        <v>1187</v>
      </c>
      <c r="J154" s="9" t="s">
        <v>1135</v>
      </c>
      <c r="K154" s="9" t="s">
        <v>1188</v>
      </c>
    </row>
    <row r="155" customFormat="false" ht="15" hidden="false" customHeight="false" outlineLevel="0" collapsed="false">
      <c r="A155" s="9" t="s">
        <v>67</v>
      </c>
      <c r="B155" s="9" t="s">
        <v>48</v>
      </c>
      <c r="C155" s="9" t="s">
        <v>68</v>
      </c>
      <c r="D155" s="9" t="s">
        <v>1237</v>
      </c>
      <c r="E155" s="9" t="s">
        <v>1168</v>
      </c>
      <c r="F155" s="9" t="s">
        <v>1238</v>
      </c>
      <c r="G155" s="9" t="s">
        <v>1239</v>
      </c>
      <c r="H155" s="9" t="s">
        <v>314</v>
      </c>
      <c r="I155" s="9" t="s">
        <v>1171</v>
      </c>
      <c r="J155" s="9" t="s">
        <v>1135</v>
      </c>
      <c r="K155" s="9" t="s">
        <v>1172</v>
      </c>
    </row>
    <row r="156" customFormat="false" ht="15" hidden="false" customHeight="false" outlineLevel="0" collapsed="false">
      <c r="A156" s="9" t="s">
        <v>67</v>
      </c>
      <c r="B156" s="9" t="s">
        <v>48</v>
      </c>
      <c r="C156" s="9" t="s">
        <v>68</v>
      </c>
      <c r="D156" s="9" t="s">
        <v>1237</v>
      </c>
      <c r="E156" s="9" t="s">
        <v>1168</v>
      </c>
      <c r="F156" s="9" t="s">
        <v>1238</v>
      </c>
      <c r="G156" s="9" t="s">
        <v>1239</v>
      </c>
      <c r="H156" s="9" t="s">
        <v>314</v>
      </c>
      <c r="I156" s="9" t="s">
        <v>1240</v>
      </c>
      <c r="J156" s="9" t="s">
        <v>1135</v>
      </c>
      <c r="K156" s="9" t="s">
        <v>1241</v>
      </c>
    </row>
    <row r="157" customFormat="false" ht="15" hidden="false" customHeight="false" outlineLevel="0" collapsed="false">
      <c r="A157" s="9" t="s">
        <v>67</v>
      </c>
      <c r="B157" s="9" t="s">
        <v>48</v>
      </c>
      <c r="C157" s="9" t="s">
        <v>68</v>
      </c>
      <c r="D157" s="9" t="s">
        <v>1237</v>
      </c>
      <c r="E157" s="9" t="s">
        <v>1168</v>
      </c>
      <c r="F157" s="9" t="s">
        <v>1238</v>
      </c>
      <c r="G157" s="9" t="s">
        <v>1239</v>
      </c>
      <c r="H157" s="9" t="s">
        <v>314</v>
      </c>
      <c r="I157" s="9" t="s">
        <v>1187</v>
      </c>
      <c r="J157" s="9" t="s">
        <v>1135</v>
      </c>
      <c r="K157" s="9" t="s">
        <v>1188</v>
      </c>
    </row>
    <row r="158" customFormat="false" ht="15" hidden="false" customHeight="false" outlineLevel="0" collapsed="false">
      <c r="A158" s="9" t="s">
        <v>67</v>
      </c>
      <c r="B158" s="9" t="s">
        <v>48</v>
      </c>
      <c r="C158" s="9" t="s">
        <v>68</v>
      </c>
      <c r="D158" s="9" t="s">
        <v>1237</v>
      </c>
      <c r="E158" s="9" t="s">
        <v>1168</v>
      </c>
      <c r="F158" s="9" t="s">
        <v>1238</v>
      </c>
      <c r="G158" s="9" t="s">
        <v>1239</v>
      </c>
      <c r="H158" s="9" t="s">
        <v>314</v>
      </c>
      <c r="I158" s="9" t="s">
        <v>1177</v>
      </c>
      <c r="J158" s="9" t="s">
        <v>1165</v>
      </c>
      <c r="K158" s="9" t="s">
        <v>1178</v>
      </c>
    </row>
    <row r="159" customFormat="false" ht="15" hidden="false" customHeight="false" outlineLevel="0" collapsed="false">
      <c r="A159" s="9" t="s">
        <v>67</v>
      </c>
      <c r="B159" s="9" t="s">
        <v>48</v>
      </c>
      <c r="C159" s="9" t="s">
        <v>68</v>
      </c>
      <c r="D159" s="9" t="s">
        <v>1242</v>
      </c>
      <c r="E159" s="9" t="s">
        <v>1168</v>
      </c>
      <c r="F159" s="9" t="s">
        <v>1238</v>
      </c>
      <c r="G159" s="9" t="s">
        <v>1243</v>
      </c>
      <c r="H159" s="9" t="s">
        <v>314</v>
      </c>
      <c r="I159" s="9" t="s">
        <v>1171</v>
      </c>
      <c r="J159" s="9" t="s">
        <v>1135</v>
      </c>
      <c r="K159" s="9" t="s">
        <v>1172</v>
      </c>
    </row>
    <row r="160" customFormat="false" ht="15" hidden="false" customHeight="false" outlineLevel="0" collapsed="false">
      <c r="A160" s="9" t="s">
        <v>67</v>
      </c>
      <c r="B160" s="9" t="s">
        <v>48</v>
      </c>
      <c r="C160" s="9" t="s">
        <v>68</v>
      </c>
      <c r="D160" s="9" t="s">
        <v>1242</v>
      </c>
      <c r="E160" s="9" t="s">
        <v>1168</v>
      </c>
      <c r="F160" s="9" t="s">
        <v>1238</v>
      </c>
      <c r="G160" s="9" t="s">
        <v>1243</v>
      </c>
      <c r="H160" s="9" t="s">
        <v>314</v>
      </c>
      <c r="I160" s="9" t="s">
        <v>1240</v>
      </c>
      <c r="J160" s="9" t="s">
        <v>1135</v>
      </c>
      <c r="K160" s="9" t="s">
        <v>1241</v>
      </c>
    </row>
    <row r="161" customFormat="false" ht="15" hidden="false" customHeight="false" outlineLevel="0" collapsed="false">
      <c r="A161" s="9" t="s">
        <v>67</v>
      </c>
      <c r="B161" s="9" t="s">
        <v>48</v>
      </c>
      <c r="C161" s="9" t="s">
        <v>68</v>
      </c>
      <c r="D161" s="9" t="s">
        <v>1242</v>
      </c>
      <c r="E161" s="9" t="s">
        <v>1168</v>
      </c>
      <c r="F161" s="9" t="s">
        <v>1238</v>
      </c>
      <c r="G161" s="9" t="s">
        <v>1243</v>
      </c>
      <c r="H161" s="9" t="s">
        <v>314</v>
      </c>
      <c r="I161" s="9" t="s">
        <v>1187</v>
      </c>
      <c r="J161" s="9" t="s">
        <v>1135</v>
      </c>
      <c r="K161" s="9" t="s">
        <v>1188</v>
      </c>
    </row>
    <row r="162" customFormat="false" ht="15" hidden="false" customHeight="false" outlineLevel="0" collapsed="false">
      <c r="A162" s="9" t="s">
        <v>67</v>
      </c>
      <c r="B162" s="9" t="s">
        <v>48</v>
      </c>
      <c r="C162" s="9" t="s">
        <v>68</v>
      </c>
      <c r="D162" s="9" t="s">
        <v>1242</v>
      </c>
      <c r="E162" s="9" t="s">
        <v>1168</v>
      </c>
      <c r="F162" s="9" t="s">
        <v>1238</v>
      </c>
      <c r="G162" s="9" t="s">
        <v>1243</v>
      </c>
      <c r="H162" s="9" t="s">
        <v>314</v>
      </c>
      <c r="I162" s="9" t="s">
        <v>1177</v>
      </c>
      <c r="J162" s="9" t="s">
        <v>1165</v>
      </c>
      <c r="K162" s="9" t="s">
        <v>1178</v>
      </c>
    </row>
    <row r="163" customFormat="false" ht="22.35" hidden="false" customHeight="false" outlineLevel="0" collapsed="false">
      <c r="A163" s="9" t="s">
        <v>70</v>
      </c>
      <c r="B163" s="9" t="s">
        <v>48</v>
      </c>
      <c r="C163" s="9" t="s">
        <v>71</v>
      </c>
      <c r="D163" s="9" t="s">
        <v>1196</v>
      </c>
      <c r="E163" s="9" t="s">
        <v>1168</v>
      </c>
      <c r="F163" s="9" t="s">
        <v>1197</v>
      </c>
      <c r="G163" s="9" t="s">
        <v>1198</v>
      </c>
      <c r="H163" s="9" t="s">
        <v>327</v>
      </c>
      <c r="I163" s="9" t="s">
        <v>1171</v>
      </c>
      <c r="J163" s="9" t="s">
        <v>1135</v>
      </c>
      <c r="K163" s="9" t="s">
        <v>1172</v>
      </c>
    </row>
    <row r="164" customFormat="false" ht="22.35" hidden="false" customHeight="false" outlineLevel="0" collapsed="false">
      <c r="A164" s="9" t="s">
        <v>70</v>
      </c>
      <c r="B164" s="9" t="s">
        <v>48</v>
      </c>
      <c r="C164" s="9" t="s">
        <v>71</v>
      </c>
      <c r="D164" s="9" t="s">
        <v>1196</v>
      </c>
      <c r="E164" s="9" t="s">
        <v>1168</v>
      </c>
      <c r="F164" s="9" t="s">
        <v>1197</v>
      </c>
      <c r="G164" s="9" t="s">
        <v>1198</v>
      </c>
      <c r="H164" s="9" t="s">
        <v>327</v>
      </c>
      <c r="I164" s="9" t="s">
        <v>1173</v>
      </c>
      <c r="J164" s="9" t="s">
        <v>1135</v>
      </c>
      <c r="K164" s="9" t="s">
        <v>1174</v>
      </c>
    </row>
    <row r="165" customFormat="false" ht="22.35" hidden="false" customHeight="false" outlineLevel="0" collapsed="false">
      <c r="A165" s="9" t="s">
        <v>70</v>
      </c>
      <c r="B165" s="9" t="s">
        <v>48</v>
      </c>
      <c r="C165" s="9" t="s">
        <v>71</v>
      </c>
      <c r="D165" s="9" t="s">
        <v>1196</v>
      </c>
      <c r="E165" s="9" t="s">
        <v>1168</v>
      </c>
      <c r="F165" s="9" t="s">
        <v>1197</v>
      </c>
      <c r="G165" s="9" t="s">
        <v>1198</v>
      </c>
      <c r="H165" s="9" t="s">
        <v>327</v>
      </c>
      <c r="I165" s="9" t="s">
        <v>1175</v>
      </c>
      <c r="J165" s="9" t="s">
        <v>1135</v>
      </c>
      <c r="K165" s="9" t="s">
        <v>1176</v>
      </c>
    </row>
    <row r="166" customFormat="false" ht="22.35" hidden="false" customHeight="false" outlineLevel="0" collapsed="false">
      <c r="A166" s="9" t="s">
        <v>70</v>
      </c>
      <c r="B166" s="9" t="s">
        <v>48</v>
      </c>
      <c r="C166" s="9" t="s">
        <v>71</v>
      </c>
      <c r="D166" s="9" t="s">
        <v>1196</v>
      </c>
      <c r="E166" s="9" t="s">
        <v>1168</v>
      </c>
      <c r="F166" s="9" t="s">
        <v>1197</v>
      </c>
      <c r="G166" s="9" t="s">
        <v>1198</v>
      </c>
      <c r="H166" s="9" t="s">
        <v>327</v>
      </c>
      <c r="I166" s="9" t="s">
        <v>1177</v>
      </c>
      <c r="J166" s="9" t="s">
        <v>1165</v>
      </c>
      <c r="K166" s="9" t="s">
        <v>1178</v>
      </c>
    </row>
    <row r="167" customFormat="false" ht="22.35" hidden="false" customHeight="false" outlineLevel="0" collapsed="false">
      <c r="A167" s="9" t="s">
        <v>70</v>
      </c>
      <c r="B167" s="9" t="s">
        <v>48</v>
      </c>
      <c r="C167" s="9" t="s">
        <v>71</v>
      </c>
      <c r="D167" s="9" t="s">
        <v>1196</v>
      </c>
      <c r="E167" s="9" t="s">
        <v>1168</v>
      </c>
      <c r="F167" s="9" t="s">
        <v>1197</v>
      </c>
      <c r="G167" s="9" t="s">
        <v>1198</v>
      </c>
      <c r="H167" s="9" t="s">
        <v>327</v>
      </c>
      <c r="I167" s="9" t="s">
        <v>1179</v>
      </c>
      <c r="J167" s="9" t="s">
        <v>1165</v>
      </c>
      <c r="K167" s="9" t="s">
        <v>1180</v>
      </c>
    </row>
    <row r="168" customFormat="false" ht="22.35" hidden="false" customHeight="false" outlineLevel="0" collapsed="false">
      <c r="A168" s="9" t="s">
        <v>70</v>
      </c>
      <c r="B168" s="9" t="s">
        <v>48</v>
      </c>
      <c r="C168" s="9" t="s">
        <v>71</v>
      </c>
      <c r="D168" s="9" t="s">
        <v>1244</v>
      </c>
      <c r="E168" s="9" t="s">
        <v>1168</v>
      </c>
      <c r="F168" s="9" t="s">
        <v>1197</v>
      </c>
      <c r="G168" s="9" t="s">
        <v>1245</v>
      </c>
      <c r="H168" s="9" t="s">
        <v>327</v>
      </c>
      <c r="I168" s="9" t="s">
        <v>1164</v>
      </c>
      <c r="J168" s="9" t="s">
        <v>1165</v>
      </c>
      <c r="K168" s="9" t="s">
        <v>1166</v>
      </c>
    </row>
    <row r="169" customFormat="false" ht="22.35" hidden="false" customHeight="false" outlineLevel="0" collapsed="false">
      <c r="A169" s="9" t="s">
        <v>70</v>
      </c>
      <c r="B169" s="9" t="s">
        <v>48</v>
      </c>
      <c r="C169" s="9" t="s">
        <v>71</v>
      </c>
      <c r="D169" s="9" t="s">
        <v>1244</v>
      </c>
      <c r="E169" s="9" t="s">
        <v>1168</v>
      </c>
      <c r="F169" s="9" t="s">
        <v>1197</v>
      </c>
      <c r="G169" s="9" t="s">
        <v>1245</v>
      </c>
      <c r="H169" s="9" t="s">
        <v>327</v>
      </c>
      <c r="I169" s="9" t="s">
        <v>1207</v>
      </c>
      <c r="J169" s="9" t="s">
        <v>1135</v>
      </c>
      <c r="K169" s="9" t="s">
        <v>1208</v>
      </c>
    </row>
    <row r="170" customFormat="false" ht="22.35" hidden="false" customHeight="false" outlineLevel="0" collapsed="false">
      <c r="A170" s="9" t="s">
        <v>70</v>
      </c>
      <c r="B170" s="9" t="s">
        <v>48</v>
      </c>
      <c r="C170" s="9" t="s">
        <v>71</v>
      </c>
      <c r="D170" s="9" t="s">
        <v>1199</v>
      </c>
      <c r="E170" s="9" t="s">
        <v>1168</v>
      </c>
      <c r="F170" s="9" t="s">
        <v>1197</v>
      </c>
      <c r="G170" s="9" t="s">
        <v>1200</v>
      </c>
      <c r="H170" s="9" t="s">
        <v>327</v>
      </c>
      <c r="I170" s="9" t="s">
        <v>1171</v>
      </c>
      <c r="J170" s="9" t="s">
        <v>1135</v>
      </c>
      <c r="K170" s="9" t="s">
        <v>1172</v>
      </c>
    </row>
    <row r="171" customFormat="false" ht="22.35" hidden="false" customHeight="false" outlineLevel="0" collapsed="false">
      <c r="A171" s="9" t="s">
        <v>70</v>
      </c>
      <c r="B171" s="9" t="s">
        <v>48</v>
      </c>
      <c r="C171" s="9" t="s">
        <v>71</v>
      </c>
      <c r="D171" s="9" t="s">
        <v>1199</v>
      </c>
      <c r="E171" s="9" t="s">
        <v>1168</v>
      </c>
      <c r="F171" s="9" t="s">
        <v>1197</v>
      </c>
      <c r="G171" s="9" t="s">
        <v>1200</v>
      </c>
      <c r="H171" s="9" t="s">
        <v>327</v>
      </c>
      <c r="I171" s="9" t="s">
        <v>1173</v>
      </c>
      <c r="J171" s="9" t="s">
        <v>1135</v>
      </c>
      <c r="K171" s="9" t="s">
        <v>1174</v>
      </c>
    </row>
    <row r="172" customFormat="false" ht="22.35" hidden="false" customHeight="false" outlineLevel="0" collapsed="false">
      <c r="A172" s="9" t="s">
        <v>70</v>
      </c>
      <c r="B172" s="9" t="s">
        <v>48</v>
      </c>
      <c r="C172" s="9" t="s">
        <v>71</v>
      </c>
      <c r="D172" s="9" t="s">
        <v>1199</v>
      </c>
      <c r="E172" s="9" t="s">
        <v>1168</v>
      </c>
      <c r="F172" s="9" t="s">
        <v>1197</v>
      </c>
      <c r="G172" s="9" t="s">
        <v>1200</v>
      </c>
      <c r="H172" s="9" t="s">
        <v>327</v>
      </c>
      <c r="I172" s="9" t="s">
        <v>1175</v>
      </c>
      <c r="J172" s="9" t="s">
        <v>1135</v>
      </c>
      <c r="K172" s="9" t="s">
        <v>1176</v>
      </c>
    </row>
    <row r="173" customFormat="false" ht="22.35" hidden="false" customHeight="false" outlineLevel="0" collapsed="false">
      <c r="A173" s="9" t="s">
        <v>70</v>
      </c>
      <c r="B173" s="9" t="s">
        <v>48</v>
      </c>
      <c r="C173" s="9" t="s">
        <v>71</v>
      </c>
      <c r="D173" s="9" t="s">
        <v>1199</v>
      </c>
      <c r="E173" s="9" t="s">
        <v>1168</v>
      </c>
      <c r="F173" s="9" t="s">
        <v>1197</v>
      </c>
      <c r="G173" s="9" t="s">
        <v>1200</v>
      </c>
      <c r="H173" s="9" t="s">
        <v>327</v>
      </c>
      <c r="I173" s="9" t="s">
        <v>1177</v>
      </c>
      <c r="J173" s="9" t="s">
        <v>1165</v>
      </c>
      <c r="K173" s="9" t="s">
        <v>1178</v>
      </c>
    </row>
    <row r="174" customFormat="false" ht="22.35" hidden="false" customHeight="false" outlineLevel="0" collapsed="false">
      <c r="A174" s="9" t="s">
        <v>70</v>
      </c>
      <c r="B174" s="9" t="s">
        <v>48</v>
      </c>
      <c r="C174" s="9" t="s">
        <v>71</v>
      </c>
      <c r="D174" s="9" t="s">
        <v>1199</v>
      </c>
      <c r="E174" s="9" t="s">
        <v>1168</v>
      </c>
      <c r="F174" s="9" t="s">
        <v>1197</v>
      </c>
      <c r="G174" s="9" t="s">
        <v>1200</v>
      </c>
      <c r="H174" s="9" t="s">
        <v>327</v>
      </c>
      <c r="I174" s="9" t="s">
        <v>1179</v>
      </c>
      <c r="J174" s="9" t="s">
        <v>1165</v>
      </c>
      <c r="K174" s="9" t="s">
        <v>1180</v>
      </c>
    </row>
    <row r="175" customFormat="false" ht="22.35" hidden="false" customHeight="false" outlineLevel="0" collapsed="false">
      <c r="A175" s="9" t="s">
        <v>70</v>
      </c>
      <c r="B175" s="9" t="s">
        <v>48</v>
      </c>
      <c r="C175" s="9" t="s">
        <v>71</v>
      </c>
      <c r="D175" s="9" t="s">
        <v>1201</v>
      </c>
      <c r="E175" s="9" t="s">
        <v>1168</v>
      </c>
      <c r="F175" s="9" t="s">
        <v>1197</v>
      </c>
      <c r="G175" s="9" t="s">
        <v>1202</v>
      </c>
      <c r="H175" s="9" t="s">
        <v>972</v>
      </c>
      <c r="I175" s="9" t="s">
        <v>1171</v>
      </c>
      <c r="J175" s="9" t="s">
        <v>1135</v>
      </c>
      <c r="K175" s="9" t="s">
        <v>1172</v>
      </c>
    </row>
    <row r="176" customFormat="false" ht="22.35" hidden="false" customHeight="false" outlineLevel="0" collapsed="false">
      <c r="A176" s="9" t="s">
        <v>70</v>
      </c>
      <c r="B176" s="9" t="s">
        <v>48</v>
      </c>
      <c r="C176" s="9" t="s">
        <v>71</v>
      </c>
      <c r="D176" s="9" t="s">
        <v>1201</v>
      </c>
      <c r="E176" s="9" t="s">
        <v>1168</v>
      </c>
      <c r="F176" s="9" t="s">
        <v>1197</v>
      </c>
      <c r="G176" s="9" t="s">
        <v>1202</v>
      </c>
      <c r="H176" s="9" t="s">
        <v>972</v>
      </c>
      <c r="I176" s="9" t="s">
        <v>1173</v>
      </c>
      <c r="J176" s="9" t="s">
        <v>1135</v>
      </c>
      <c r="K176" s="9" t="s">
        <v>1174</v>
      </c>
    </row>
    <row r="177" customFormat="false" ht="22.35" hidden="false" customHeight="false" outlineLevel="0" collapsed="false">
      <c r="A177" s="9" t="s">
        <v>70</v>
      </c>
      <c r="B177" s="9" t="s">
        <v>48</v>
      </c>
      <c r="C177" s="9" t="s">
        <v>71</v>
      </c>
      <c r="D177" s="9" t="s">
        <v>1201</v>
      </c>
      <c r="E177" s="9" t="s">
        <v>1168</v>
      </c>
      <c r="F177" s="9" t="s">
        <v>1197</v>
      </c>
      <c r="G177" s="9" t="s">
        <v>1202</v>
      </c>
      <c r="H177" s="9" t="s">
        <v>972</v>
      </c>
      <c r="I177" s="9" t="s">
        <v>1175</v>
      </c>
      <c r="J177" s="9" t="s">
        <v>1135</v>
      </c>
      <c r="K177" s="9" t="s">
        <v>1176</v>
      </c>
    </row>
    <row r="178" customFormat="false" ht="22.35" hidden="false" customHeight="false" outlineLevel="0" collapsed="false">
      <c r="A178" s="9" t="s">
        <v>70</v>
      </c>
      <c r="B178" s="9" t="s">
        <v>48</v>
      </c>
      <c r="C178" s="9" t="s">
        <v>71</v>
      </c>
      <c r="D178" s="9" t="s">
        <v>1201</v>
      </c>
      <c r="E178" s="9" t="s">
        <v>1168</v>
      </c>
      <c r="F178" s="9" t="s">
        <v>1197</v>
      </c>
      <c r="G178" s="9" t="s">
        <v>1202</v>
      </c>
      <c r="H178" s="9" t="s">
        <v>972</v>
      </c>
      <c r="I178" s="9" t="s">
        <v>1177</v>
      </c>
      <c r="J178" s="9" t="s">
        <v>1165</v>
      </c>
      <c r="K178" s="9" t="s">
        <v>1178</v>
      </c>
    </row>
    <row r="179" customFormat="false" ht="22.35" hidden="false" customHeight="false" outlineLevel="0" collapsed="false">
      <c r="A179" s="9" t="s">
        <v>70</v>
      </c>
      <c r="B179" s="9" t="s">
        <v>48</v>
      </c>
      <c r="C179" s="9" t="s">
        <v>71</v>
      </c>
      <c r="D179" s="9" t="s">
        <v>1201</v>
      </c>
      <c r="E179" s="9" t="s">
        <v>1168</v>
      </c>
      <c r="F179" s="9" t="s">
        <v>1197</v>
      </c>
      <c r="G179" s="9" t="s">
        <v>1202</v>
      </c>
      <c r="H179" s="9" t="s">
        <v>972</v>
      </c>
      <c r="I179" s="9" t="s">
        <v>1179</v>
      </c>
      <c r="J179" s="9" t="s">
        <v>1165</v>
      </c>
      <c r="K179" s="9" t="s">
        <v>1180</v>
      </c>
    </row>
    <row r="180" customFormat="false" ht="22.35" hidden="false" customHeight="false" outlineLevel="0" collapsed="false">
      <c r="A180" s="9" t="s">
        <v>70</v>
      </c>
      <c r="B180" s="9" t="s">
        <v>48</v>
      </c>
      <c r="C180" s="9" t="s">
        <v>71</v>
      </c>
      <c r="D180" s="9" t="s">
        <v>1246</v>
      </c>
      <c r="E180" s="9" t="s">
        <v>1168</v>
      </c>
      <c r="F180" s="9" t="s">
        <v>1197</v>
      </c>
      <c r="G180" s="9" t="s">
        <v>1247</v>
      </c>
      <c r="H180" s="9" t="s">
        <v>1248</v>
      </c>
      <c r="I180" s="9" t="s">
        <v>1171</v>
      </c>
      <c r="J180" s="9" t="s">
        <v>1135</v>
      </c>
      <c r="K180" s="9" t="s">
        <v>1172</v>
      </c>
    </row>
    <row r="181" customFormat="false" ht="22.35" hidden="false" customHeight="false" outlineLevel="0" collapsed="false">
      <c r="A181" s="9" t="s">
        <v>70</v>
      </c>
      <c r="B181" s="9" t="s">
        <v>48</v>
      </c>
      <c r="C181" s="9" t="s">
        <v>71</v>
      </c>
      <c r="D181" s="9" t="s">
        <v>1246</v>
      </c>
      <c r="E181" s="9" t="s">
        <v>1168</v>
      </c>
      <c r="F181" s="9" t="s">
        <v>1197</v>
      </c>
      <c r="G181" s="9" t="s">
        <v>1247</v>
      </c>
      <c r="H181" s="9" t="s">
        <v>1248</v>
      </c>
      <c r="I181" s="9" t="s">
        <v>1173</v>
      </c>
      <c r="J181" s="9" t="s">
        <v>1135</v>
      </c>
      <c r="K181" s="9" t="s">
        <v>1174</v>
      </c>
    </row>
    <row r="182" customFormat="false" ht="22.35" hidden="false" customHeight="false" outlineLevel="0" collapsed="false">
      <c r="A182" s="9" t="s">
        <v>70</v>
      </c>
      <c r="B182" s="9" t="s">
        <v>48</v>
      </c>
      <c r="C182" s="9" t="s">
        <v>71</v>
      </c>
      <c r="D182" s="9" t="s">
        <v>1246</v>
      </c>
      <c r="E182" s="9" t="s">
        <v>1168</v>
      </c>
      <c r="F182" s="9" t="s">
        <v>1197</v>
      </c>
      <c r="G182" s="9" t="s">
        <v>1247</v>
      </c>
      <c r="H182" s="9" t="s">
        <v>1248</v>
      </c>
      <c r="I182" s="9" t="s">
        <v>1175</v>
      </c>
      <c r="J182" s="9" t="s">
        <v>1135</v>
      </c>
      <c r="K182" s="9" t="s">
        <v>1176</v>
      </c>
    </row>
    <row r="183" customFormat="false" ht="22.35" hidden="false" customHeight="false" outlineLevel="0" collapsed="false">
      <c r="A183" s="9" t="s">
        <v>70</v>
      </c>
      <c r="B183" s="9" t="s">
        <v>48</v>
      </c>
      <c r="C183" s="9" t="s">
        <v>71</v>
      </c>
      <c r="D183" s="9" t="s">
        <v>1246</v>
      </c>
      <c r="E183" s="9" t="s">
        <v>1168</v>
      </c>
      <c r="F183" s="9" t="s">
        <v>1197</v>
      </c>
      <c r="G183" s="9" t="s">
        <v>1247</v>
      </c>
      <c r="H183" s="9" t="s">
        <v>1248</v>
      </c>
      <c r="I183" s="9" t="s">
        <v>1177</v>
      </c>
      <c r="J183" s="9" t="s">
        <v>1165</v>
      </c>
      <c r="K183" s="9" t="s">
        <v>1178</v>
      </c>
    </row>
    <row r="184" customFormat="false" ht="22.35" hidden="false" customHeight="false" outlineLevel="0" collapsed="false">
      <c r="A184" s="9" t="s">
        <v>70</v>
      </c>
      <c r="B184" s="9" t="s">
        <v>48</v>
      </c>
      <c r="C184" s="9" t="s">
        <v>71</v>
      </c>
      <c r="D184" s="9" t="s">
        <v>1246</v>
      </c>
      <c r="E184" s="9" t="s">
        <v>1168</v>
      </c>
      <c r="F184" s="9" t="s">
        <v>1197</v>
      </c>
      <c r="G184" s="9" t="s">
        <v>1247</v>
      </c>
      <c r="H184" s="9" t="s">
        <v>1248</v>
      </c>
      <c r="I184" s="9" t="s">
        <v>1179</v>
      </c>
      <c r="J184" s="9" t="s">
        <v>1165</v>
      </c>
      <c r="K184" s="9" t="s">
        <v>1180</v>
      </c>
    </row>
    <row r="185" customFormat="false" ht="15" hidden="false" customHeight="false" outlineLevel="0" collapsed="false">
      <c r="A185" s="11" t="s">
        <v>76</v>
      </c>
      <c r="B185" s="11" t="s">
        <v>73</v>
      </c>
      <c r="C185" s="11" t="s">
        <v>77</v>
      </c>
      <c r="D185" s="11" t="s">
        <v>1219</v>
      </c>
      <c r="E185" s="11" t="s">
        <v>1168</v>
      </c>
      <c r="F185" s="11" t="s">
        <v>1169</v>
      </c>
      <c r="G185" s="11" t="s">
        <v>1220</v>
      </c>
      <c r="H185" s="11" t="s">
        <v>235</v>
      </c>
      <c r="I185" s="11" t="s">
        <v>1171</v>
      </c>
      <c r="J185" s="11" t="s">
        <v>1135</v>
      </c>
      <c r="K185" s="11" t="s">
        <v>1172</v>
      </c>
    </row>
    <row r="186" customFormat="false" ht="15" hidden="false" customHeight="false" outlineLevel="0" collapsed="false">
      <c r="A186" s="11" t="s">
        <v>76</v>
      </c>
      <c r="B186" s="11" t="s">
        <v>73</v>
      </c>
      <c r="C186" s="11" t="s">
        <v>77</v>
      </c>
      <c r="D186" s="11" t="s">
        <v>1219</v>
      </c>
      <c r="E186" s="11" t="s">
        <v>1168</v>
      </c>
      <c r="F186" s="11" t="s">
        <v>1169</v>
      </c>
      <c r="G186" s="11" t="s">
        <v>1220</v>
      </c>
      <c r="H186" s="11" t="s">
        <v>235</v>
      </c>
      <c r="I186" s="11" t="s">
        <v>1173</v>
      </c>
      <c r="J186" s="11" t="s">
        <v>1135</v>
      </c>
      <c r="K186" s="11" t="s">
        <v>1174</v>
      </c>
    </row>
    <row r="187" customFormat="false" ht="15" hidden="false" customHeight="false" outlineLevel="0" collapsed="false">
      <c r="A187" s="11" t="s">
        <v>76</v>
      </c>
      <c r="B187" s="11" t="s">
        <v>73</v>
      </c>
      <c r="C187" s="11" t="s">
        <v>77</v>
      </c>
      <c r="D187" s="11" t="s">
        <v>1219</v>
      </c>
      <c r="E187" s="11" t="s">
        <v>1168</v>
      </c>
      <c r="F187" s="11" t="s">
        <v>1169</v>
      </c>
      <c r="G187" s="11" t="s">
        <v>1220</v>
      </c>
      <c r="H187" s="11" t="s">
        <v>235</v>
      </c>
      <c r="I187" s="11" t="s">
        <v>1175</v>
      </c>
      <c r="J187" s="11" t="s">
        <v>1135</v>
      </c>
      <c r="K187" s="11" t="s">
        <v>1176</v>
      </c>
    </row>
    <row r="188" customFormat="false" ht="15" hidden="false" customHeight="false" outlineLevel="0" collapsed="false">
      <c r="A188" s="11" t="s">
        <v>76</v>
      </c>
      <c r="B188" s="11" t="s">
        <v>73</v>
      </c>
      <c r="C188" s="11" t="s">
        <v>77</v>
      </c>
      <c r="D188" s="11" t="s">
        <v>1219</v>
      </c>
      <c r="E188" s="11" t="s">
        <v>1168</v>
      </c>
      <c r="F188" s="11" t="s">
        <v>1169</v>
      </c>
      <c r="G188" s="11" t="s">
        <v>1220</v>
      </c>
      <c r="H188" s="11" t="s">
        <v>235</v>
      </c>
      <c r="I188" s="11" t="s">
        <v>1177</v>
      </c>
      <c r="J188" s="11" t="s">
        <v>1165</v>
      </c>
      <c r="K188" s="11" t="s">
        <v>1178</v>
      </c>
    </row>
    <row r="189" customFormat="false" ht="15" hidden="false" customHeight="false" outlineLevel="0" collapsed="false">
      <c r="A189" s="11" t="s">
        <v>76</v>
      </c>
      <c r="B189" s="11" t="s">
        <v>73</v>
      </c>
      <c r="C189" s="11" t="s">
        <v>77</v>
      </c>
      <c r="D189" s="11" t="s">
        <v>1219</v>
      </c>
      <c r="E189" s="11" t="s">
        <v>1168</v>
      </c>
      <c r="F189" s="11" t="s">
        <v>1169</v>
      </c>
      <c r="G189" s="11" t="s">
        <v>1220</v>
      </c>
      <c r="H189" s="11" t="s">
        <v>235</v>
      </c>
      <c r="I189" s="11" t="s">
        <v>1179</v>
      </c>
      <c r="J189" s="11" t="s">
        <v>1165</v>
      </c>
      <c r="K189" s="11" t="s">
        <v>1180</v>
      </c>
    </row>
    <row r="190" customFormat="false" ht="15" hidden="false" customHeight="false" outlineLevel="0" collapsed="false">
      <c r="A190" s="11" t="s">
        <v>76</v>
      </c>
      <c r="B190" s="11" t="s">
        <v>73</v>
      </c>
      <c r="C190" s="11" t="s">
        <v>77</v>
      </c>
      <c r="D190" s="11" t="s">
        <v>1249</v>
      </c>
      <c r="E190" s="11" t="s">
        <v>1168</v>
      </c>
      <c r="F190" s="11" t="s">
        <v>1169</v>
      </c>
      <c r="G190" s="11" t="s">
        <v>1250</v>
      </c>
      <c r="H190" s="11" t="s">
        <v>1251</v>
      </c>
      <c r="I190" s="11" t="s">
        <v>1171</v>
      </c>
      <c r="J190" s="11" t="s">
        <v>1135</v>
      </c>
      <c r="K190" s="11" t="s">
        <v>1172</v>
      </c>
    </row>
    <row r="191" customFormat="false" ht="15" hidden="false" customHeight="false" outlineLevel="0" collapsed="false">
      <c r="A191" s="11" t="s">
        <v>76</v>
      </c>
      <c r="B191" s="11" t="s">
        <v>73</v>
      </c>
      <c r="C191" s="11" t="s">
        <v>77</v>
      </c>
      <c r="D191" s="11" t="s">
        <v>1249</v>
      </c>
      <c r="E191" s="11" t="s">
        <v>1168</v>
      </c>
      <c r="F191" s="11" t="s">
        <v>1169</v>
      </c>
      <c r="G191" s="11" t="s">
        <v>1250</v>
      </c>
      <c r="H191" s="11" t="s">
        <v>1251</v>
      </c>
      <c r="I191" s="11" t="s">
        <v>1173</v>
      </c>
      <c r="J191" s="11" t="s">
        <v>1135</v>
      </c>
      <c r="K191" s="11" t="s">
        <v>1174</v>
      </c>
    </row>
    <row r="192" customFormat="false" ht="15" hidden="false" customHeight="false" outlineLevel="0" collapsed="false">
      <c r="A192" s="11" t="s">
        <v>76</v>
      </c>
      <c r="B192" s="11" t="s">
        <v>73</v>
      </c>
      <c r="C192" s="11" t="s">
        <v>77</v>
      </c>
      <c r="D192" s="11" t="s">
        <v>1249</v>
      </c>
      <c r="E192" s="11" t="s">
        <v>1168</v>
      </c>
      <c r="F192" s="11" t="s">
        <v>1169</v>
      </c>
      <c r="G192" s="11" t="s">
        <v>1250</v>
      </c>
      <c r="H192" s="11" t="s">
        <v>1251</v>
      </c>
      <c r="I192" s="11" t="s">
        <v>1175</v>
      </c>
      <c r="J192" s="11" t="s">
        <v>1135</v>
      </c>
      <c r="K192" s="11" t="s">
        <v>1176</v>
      </c>
    </row>
    <row r="193" customFormat="false" ht="15" hidden="false" customHeight="false" outlineLevel="0" collapsed="false">
      <c r="A193" s="11" t="s">
        <v>76</v>
      </c>
      <c r="B193" s="11" t="s">
        <v>73</v>
      </c>
      <c r="C193" s="11" t="s">
        <v>77</v>
      </c>
      <c r="D193" s="11" t="s">
        <v>1249</v>
      </c>
      <c r="E193" s="11" t="s">
        <v>1168</v>
      </c>
      <c r="F193" s="11" t="s">
        <v>1169</v>
      </c>
      <c r="G193" s="11" t="s">
        <v>1250</v>
      </c>
      <c r="H193" s="11" t="s">
        <v>1251</v>
      </c>
      <c r="I193" s="11" t="s">
        <v>1177</v>
      </c>
      <c r="J193" s="11" t="s">
        <v>1165</v>
      </c>
      <c r="K193" s="11" t="s">
        <v>1178</v>
      </c>
    </row>
    <row r="194" customFormat="false" ht="15" hidden="false" customHeight="false" outlineLevel="0" collapsed="false">
      <c r="A194" s="11" t="s">
        <v>76</v>
      </c>
      <c r="B194" s="11" t="s">
        <v>73</v>
      </c>
      <c r="C194" s="11" t="s">
        <v>77</v>
      </c>
      <c r="D194" s="11" t="s">
        <v>1249</v>
      </c>
      <c r="E194" s="11" t="s">
        <v>1168</v>
      </c>
      <c r="F194" s="11" t="s">
        <v>1169</v>
      </c>
      <c r="G194" s="11" t="s">
        <v>1250</v>
      </c>
      <c r="H194" s="11" t="s">
        <v>1251</v>
      </c>
      <c r="I194" s="11" t="s">
        <v>1179</v>
      </c>
      <c r="J194" s="11" t="s">
        <v>1165</v>
      </c>
      <c r="K194" s="11" t="s">
        <v>1180</v>
      </c>
    </row>
    <row r="195" customFormat="false" ht="15" hidden="false" customHeight="false" outlineLevel="0" collapsed="false">
      <c r="A195" s="11" t="s">
        <v>76</v>
      </c>
      <c r="B195" s="11" t="s">
        <v>73</v>
      </c>
      <c r="C195" s="11" t="s">
        <v>77</v>
      </c>
      <c r="D195" s="11" t="s">
        <v>1221</v>
      </c>
      <c r="E195" s="11" t="s">
        <v>1131</v>
      </c>
      <c r="F195" s="11" t="s">
        <v>1222</v>
      </c>
      <c r="G195" s="11" t="s">
        <v>1223</v>
      </c>
      <c r="H195" s="11" t="s">
        <v>1224</v>
      </c>
      <c r="I195" s="11" t="s">
        <v>1225</v>
      </c>
      <c r="J195" s="11" t="s">
        <v>1135</v>
      </c>
      <c r="K195" s="11" t="s">
        <v>1226</v>
      </c>
    </row>
    <row r="196" customFormat="false" ht="22.35" hidden="false" customHeight="false" outlineLevel="0" collapsed="false">
      <c r="A196" s="11" t="s">
        <v>76</v>
      </c>
      <c r="B196" s="11" t="s">
        <v>73</v>
      </c>
      <c r="C196" s="11" t="s">
        <v>77</v>
      </c>
      <c r="D196" s="11" t="s">
        <v>1221</v>
      </c>
      <c r="E196" s="11" t="s">
        <v>1131</v>
      </c>
      <c r="F196" s="11" t="s">
        <v>1222</v>
      </c>
      <c r="G196" s="11" t="s">
        <v>1223</v>
      </c>
      <c r="H196" s="11" t="s">
        <v>1224</v>
      </c>
      <c r="I196" s="11" t="s">
        <v>1227</v>
      </c>
      <c r="J196" s="11" t="s">
        <v>1165</v>
      </c>
      <c r="K196" s="11" t="s">
        <v>1228</v>
      </c>
    </row>
    <row r="197" customFormat="false" ht="22.35" hidden="false" customHeight="false" outlineLevel="0" collapsed="false">
      <c r="A197" s="11" t="s">
        <v>76</v>
      </c>
      <c r="B197" s="11" t="s">
        <v>73</v>
      </c>
      <c r="C197" s="11" t="s">
        <v>77</v>
      </c>
      <c r="D197" s="11" t="s">
        <v>1221</v>
      </c>
      <c r="E197" s="11" t="s">
        <v>1131</v>
      </c>
      <c r="F197" s="11" t="s">
        <v>1222</v>
      </c>
      <c r="G197" s="11" t="s">
        <v>1223</v>
      </c>
      <c r="H197" s="11" t="s">
        <v>1224</v>
      </c>
      <c r="I197" s="11" t="s">
        <v>1164</v>
      </c>
      <c r="J197" s="11" t="s">
        <v>1165</v>
      </c>
      <c r="K197" s="11" t="s">
        <v>1166</v>
      </c>
    </row>
    <row r="198" customFormat="false" ht="15" hidden="false" customHeight="false" outlineLevel="0" collapsed="false">
      <c r="A198" s="11" t="s">
        <v>79</v>
      </c>
      <c r="B198" s="11" t="s">
        <v>73</v>
      </c>
      <c r="C198" s="11" t="s">
        <v>80</v>
      </c>
      <c r="D198" s="11" t="s">
        <v>1252</v>
      </c>
      <c r="E198" s="11" t="s">
        <v>1168</v>
      </c>
      <c r="F198" s="11" t="s">
        <v>1169</v>
      </c>
      <c r="G198" s="11" t="s">
        <v>1253</v>
      </c>
      <c r="H198" s="11" t="s">
        <v>1251</v>
      </c>
      <c r="I198" s="11" t="s">
        <v>1171</v>
      </c>
      <c r="J198" s="11" t="s">
        <v>1135</v>
      </c>
      <c r="K198" s="11" t="s">
        <v>1172</v>
      </c>
    </row>
    <row r="199" customFormat="false" ht="15" hidden="false" customHeight="false" outlineLevel="0" collapsed="false">
      <c r="A199" s="11" t="s">
        <v>79</v>
      </c>
      <c r="B199" s="11" t="s">
        <v>73</v>
      </c>
      <c r="C199" s="11" t="s">
        <v>80</v>
      </c>
      <c r="D199" s="11" t="s">
        <v>1252</v>
      </c>
      <c r="E199" s="11" t="s">
        <v>1168</v>
      </c>
      <c r="F199" s="11" t="s">
        <v>1169</v>
      </c>
      <c r="G199" s="11" t="s">
        <v>1253</v>
      </c>
      <c r="H199" s="11" t="s">
        <v>1251</v>
      </c>
      <c r="I199" s="11" t="s">
        <v>1173</v>
      </c>
      <c r="J199" s="11" t="s">
        <v>1135</v>
      </c>
      <c r="K199" s="11" t="s">
        <v>1174</v>
      </c>
    </row>
    <row r="200" customFormat="false" ht="15" hidden="false" customHeight="false" outlineLevel="0" collapsed="false">
      <c r="A200" s="11" t="s">
        <v>79</v>
      </c>
      <c r="B200" s="11" t="s">
        <v>73</v>
      </c>
      <c r="C200" s="11" t="s">
        <v>80</v>
      </c>
      <c r="D200" s="11" t="s">
        <v>1252</v>
      </c>
      <c r="E200" s="11" t="s">
        <v>1168</v>
      </c>
      <c r="F200" s="11" t="s">
        <v>1169</v>
      </c>
      <c r="G200" s="11" t="s">
        <v>1253</v>
      </c>
      <c r="H200" s="11" t="s">
        <v>1251</v>
      </c>
      <c r="I200" s="11" t="s">
        <v>1175</v>
      </c>
      <c r="J200" s="11" t="s">
        <v>1135</v>
      </c>
      <c r="K200" s="11" t="s">
        <v>1176</v>
      </c>
    </row>
    <row r="201" customFormat="false" ht="15" hidden="false" customHeight="false" outlineLevel="0" collapsed="false">
      <c r="A201" s="11" t="s">
        <v>79</v>
      </c>
      <c r="B201" s="11" t="s">
        <v>73</v>
      </c>
      <c r="C201" s="11" t="s">
        <v>80</v>
      </c>
      <c r="D201" s="11" t="s">
        <v>1252</v>
      </c>
      <c r="E201" s="11" t="s">
        <v>1168</v>
      </c>
      <c r="F201" s="11" t="s">
        <v>1169</v>
      </c>
      <c r="G201" s="11" t="s">
        <v>1253</v>
      </c>
      <c r="H201" s="11" t="s">
        <v>1251</v>
      </c>
      <c r="I201" s="11" t="s">
        <v>1177</v>
      </c>
      <c r="J201" s="11" t="s">
        <v>1165</v>
      </c>
      <c r="K201" s="11" t="s">
        <v>1178</v>
      </c>
    </row>
    <row r="202" customFormat="false" ht="15" hidden="false" customHeight="false" outlineLevel="0" collapsed="false">
      <c r="A202" s="11" t="s">
        <v>79</v>
      </c>
      <c r="B202" s="11" t="s">
        <v>73</v>
      </c>
      <c r="C202" s="11" t="s">
        <v>80</v>
      </c>
      <c r="D202" s="11" t="s">
        <v>1252</v>
      </c>
      <c r="E202" s="11" t="s">
        <v>1168</v>
      </c>
      <c r="F202" s="11" t="s">
        <v>1169</v>
      </c>
      <c r="G202" s="11" t="s">
        <v>1253</v>
      </c>
      <c r="H202" s="11" t="s">
        <v>1251</v>
      </c>
      <c r="I202" s="11" t="s">
        <v>1179</v>
      </c>
      <c r="J202" s="11" t="s">
        <v>1165</v>
      </c>
      <c r="K202" s="11" t="s">
        <v>1180</v>
      </c>
    </row>
    <row r="203" customFormat="false" ht="15" hidden="false" customHeight="false" outlineLevel="0" collapsed="false">
      <c r="A203" s="11" t="s">
        <v>79</v>
      </c>
      <c r="B203" s="11" t="s">
        <v>73</v>
      </c>
      <c r="C203" s="11" t="s">
        <v>80</v>
      </c>
      <c r="D203" s="11" t="s">
        <v>1185</v>
      </c>
      <c r="E203" s="11" t="s">
        <v>1168</v>
      </c>
      <c r="F203" s="11" t="s">
        <v>1169</v>
      </c>
      <c r="G203" s="11" t="s">
        <v>1186</v>
      </c>
      <c r="H203" s="11" t="s">
        <v>235</v>
      </c>
      <c r="I203" s="11" t="s">
        <v>1171</v>
      </c>
      <c r="J203" s="11" t="s">
        <v>1135</v>
      </c>
      <c r="K203" s="11" t="s">
        <v>1172</v>
      </c>
    </row>
    <row r="204" customFormat="false" ht="15" hidden="false" customHeight="false" outlineLevel="0" collapsed="false">
      <c r="A204" s="11" t="s">
        <v>79</v>
      </c>
      <c r="B204" s="11" t="s">
        <v>73</v>
      </c>
      <c r="C204" s="11" t="s">
        <v>80</v>
      </c>
      <c r="D204" s="11" t="s">
        <v>1185</v>
      </c>
      <c r="E204" s="11" t="s">
        <v>1168</v>
      </c>
      <c r="F204" s="11" t="s">
        <v>1169</v>
      </c>
      <c r="G204" s="11" t="s">
        <v>1186</v>
      </c>
      <c r="H204" s="11" t="s">
        <v>235</v>
      </c>
      <c r="I204" s="11" t="s">
        <v>1173</v>
      </c>
      <c r="J204" s="11" t="s">
        <v>1135</v>
      </c>
      <c r="K204" s="11" t="s">
        <v>1174</v>
      </c>
    </row>
    <row r="205" customFormat="false" ht="15" hidden="false" customHeight="false" outlineLevel="0" collapsed="false">
      <c r="A205" s="11" t="s">
        <v>79</v>
      </c>
      <c r="B205" s="11" t="s">
        <v>73</v>
      </c>
      <c r="C205" s="11" t="s">
        <v>80</v>
      </c>
      <c r="D205" s="11" t="s">
        <v>1185</v>
      </c>
      <c r="E205" s="11" t="s">
        <v>1168</v>
      </c>
      <c r="F205" s="11" t="s">
        <v>1169</v>
      </c>
      <c r="G205" s="11" t="s">
        <v>1186</v>
      </c>
      <c r="H205" s="11" t="s">
        <v>235</v>
      </c>
      <c r="I205" s="11" t="s">
        <v>1175</v>
      </c>
      <c r="J205" s="11" t="s">
        <v>1135</v>
      </c>
      <c r="K205" s="11" t="s">
        <v>1176</v>
      </c>
    </row>
    <row r="206" customFormat="false" ht="15" hidden="false" customHeight="false" outlineLevel="0" collapsed="false">
      <c r="A206" s="11" t="s">
        <v>79</v>
      </c>
      <c r="B206" s="11" t="s">
        <v>73</v>
      </c>
      <c r="C206" s="11" t="s">
        <v>80</v>
      </c>
      <c r="D206" s="11" t="s">
        <v>1185</v>
      </c>
      <c r="E206" s="11" t="s">
        <v>1168</v>
      </c>
      <c r="F206" s="11" t="s">
        <v>1169</v>
      </c>
      <c r="G206" s="11" t="s">
        <v>1186</v>
      </c>
      <c r="H206" s="11" t="s">
        <v>235</v>
      </c>
      <c r="I206" s="11" t="s">
        <v>1177</v>
      </c>
      <c r="J206" s="11" t="s">
        <v>1165</v>
      </c>
      <c r="K206" s="11" t="s">
        <v>1178</v>
      </c>
    </row>
    <row r="207" customFormat="false" ht="15" hidden="false" customHeight="false" outlineLevel="0" collapsed="false">
      <c r="A207" s="11" t="s">
        <v>79</v>
      </c>
      <c r="B207" s="11" t="s">
        <v>73</v>
      </c>
      <c r="C207" s="11" t="s">
        <v>80</v>
      </c>
      <c r="D207" s="11" t="s">
        <v>1185</v>
      </c>
      <c r="E207" s="11" t="s">
        <v>1168</v>
      </c>
      <c r="F207" s="11" t="s">
        <v>1169</v>
      </c>
      <c r="G207" s="11" t="s">
        <v>1186</v>
      </c>
      <c r="H207" s="11" t="s">
        <v>235</v>
      </c>
      <c r="I207" s="11" t="s">
        <v>1179</v>
      </c>
      <c r="J207" s="11" t="s">
        <v>1165</v>
      </c>
      <c r="K207" s="11" t="s">
        <v>1180</v>
      </c>
    </row>
    <row r="208" customFormat="false" ht="15" hidden="false" customHeight="false" outlineLevel="0" collapsed="false">
      <c r="A208" s="11" t="s">
        <v>79</v>
      </c>
      <c r="B208" s="11" t="s">
        <v>73</v>
      </c>
      <c r="C208" s="11" t="s">
        <v>80</v>
      </c>
      <c r="D208" s="11" t="s">
        <v>1185</v>
      </c>
      <c r="E208" s="11" t="s">
        <v>1168</v>
      </c>
      <c r="F208" s="11" t="s">
        <v>1169</v>
      </c>
      <c r="G208" s="11" t="s">
        <v>1186</v>
      </c>
      <c r="H208" s="11" t="s">
        <v>235</v>
      </c>
      <c r="I208" s="11" t="s">
        <v>1187</v>
      </c>
      <c r="J208" s="11" t="s">
        <v>1135</v>
      </c>
      <c r="K208" s="11" t="s">
        <v>1188</v>
      </c>
    </row>
    <row r="209" customFormat="false" ht="15" hidden="false" customHeight="false" outlineLevel="0" collapsed="false">
      <c r="A209" s="11" t="s">
        <v>79</v>
      </c>
      <c r="B209" s="11" t="s">
        <v>73</v>
      </c>
      <c r="C209" s="11" t="s">
        <v>80</v>
      </c>
      <c r="D209" s="11" t="s">
        <v>1254</v>
      </c>
      <c r="E209" s="11" t="s">
        <v>1168</v>
      </c>
      <c r="F209" s="11" t="s">
        <v>1255</v>
      </c>
      <c r="G209" s="11" t="s">
        <v>1256</v>
      </c>
      <c r="H209" s="11" t="s">
        <v>1248</v>
      </c>
      <c r="I209" s="11" t="s">
        <v>1171</v>
      </c>
      <c r="J209" s="11" t="s">
        <v>1135</v>
      </c>
      <c r="K209" s="11" t="s">
        <v>1172</v>
      </c>
    </row>
    <row r="210" customFormat="false" ht="15" hidden="false" customHeight="false" outlineLevel="0" collapsed="false">
      <c r="A210" s="11" t="s">
        <v>79</v>
      </c>
      <c r="B210" s="11" t="s">
        <v>73</v>
      </c>
      <c r="C210" s="11" t="s">
        <v>80</v>
      </c>
      <c r="D210" s="11" t="s">
        <v>1254</v>
      </c>
      <c r="E210" s="11" t="s">
        <v>1168</v>
      </c>
      <c r="F210" s="11" t="s">
        <v>1255</v>
      </c>
      <c r="G210" s="11" t="s">
        <v>1256</v>
      </c>
      <c r="H210" s="11" t="s">
        <v>1248</v>
      </c>
      <c r="I210" s="11" t="s">
        <v>1257</v>
      </c>
      <c r="J210" s="11" t="s">
        <v>1135</v>
      </c>
      <c r="K210" s="11" t="s">
        <v>1258</v>
      </c>
    </row>
    <row r="211" customFormat="false" ht="15" hidden="false" customHeight="false" outlineLevel="0" collapsed="false">
      <c r="A211" s="11" t="s">
        <v>79</v>
      </c>
      <c r="B211" s="11" t="s">
        <v>73</v>
      </c>
      <c r="C211" s="11" t="s">
        <v>80</v>
      </c>
      <c r="D211" s="11" t="s">
        <v>1254</v>
      </c>
      <c r="E211" s="11" t="s">
        <v>1168</v>
      </c>
      <c r="F211" s="11" t="s">
        <v>1255</v>
      </c>
      <c r="G211" s="11" t="s">
        <v>1256</v>
      </c>
      <c r="H211" s="11" t="s">
        <v>1248</v>
      </c>
      <c r="I211" s="11" t="s">
        <v>1259</v>
      </c>
      <c r="J211" s="11" t="s">
        <v>1135</v>
      </c>
      <c r="K211" s="11" t="s">
        <v>1260</v>
      </c>
    </row>
    <row r="212" customFormat="false" ht="22.35" hidden="false" customHeight="false" outlineLevel="0" collapsed="false">
      <c r="A212" s="11" t="s">
        <v>79</v>
      </c>
      <c r="B212" s="11" t="s">
        <v>73</v>
      </c>
      <c r="C212" s="11" t="s">
        <v>80</v>
      </c>
      <c r="D212" s="11" t="s">
        <v>1254</v>
      </c>
      <c r="E212" s="11" t="s">
        <v>1168</v>
      </c>
      <c r="F212" s="11" t="s">
        <v>1255</v>
      </c>
      <c r="G212" s="11" t="s">
        <v>1256</v>
      </c>
      <c r="H212" s="11" t="s">
        <v>1248</v>
      </c>
      <c r="I212" s="11" t="s">
        <v>1261</v>
      </c>
      <c r="J212" s="11" t="s">
        <v>1165</v>
      </c>
      <c r="K212" s="11" t="s">
        <v>1262</v>
      </c>
    </row>
    <row r="213" customFormat="false" ht="15" hidden="false" customHeight="false" outlineLevel="0" collapsed="false">
      <c r="A213" s="11" t="s">
        <v>79</v>
      </c>
      <c r="B213" s="11" t="s">
        <v>73</v>
      </c>
      <c r="C213" s="11" t="s">
        <v>80</v>
      </c>
      <c r="D213" s="11" t="s">
        <v>1249</v>
      </c>
      <c r="E213" s="11" t="s">
        <v>1168</v>
      </c>
      <c r="F213" s="11" t="s">
        <v>1169</v>
      </c>
      <c r="G213" s="11" t="s">
        <v>1250</v>
      </c>
      <c r="H213" s="11" t="s">
        <v>1251</v>
      </c>
      <c r="I213" s="11" t="s">
        <v>1171</v>
      </c>
      <c r="J213" s="11" t="s">
        <v>1135</v>
      </c>
      <c r="K213" s="11" t="s">
        <v>1172</v>
      </c>
    </row>
    <row r="214" customFormat="false" ht="15" hidden="false" customHeight="false" outlineLevel="0" collapsed="false">
      <c r="A214" s="11" t="s">
        <v>79</v>
      </c>
      <c r="B214" s="11" t="s">
        <v>73</v>
      </c>
      <c r="C214" s="11" t="s">
        <v>80</v>
      </c>
      <c r="D214" s="11" t="s">
        <v>1249</v>
      </c>
      <c r="E214" s="11" t="s">
        <v>1168</v>
      </c>
      <c r="F214" s="11" t="s">
        <v>1169</v>
      </c>
      <c r="G214" s="11" t="s">
        <v>1250</v>
      </c>
      <c r="H214" s="11" t="s">
        <v>1251</v>
      </c>
      <c r="I214" s="11" t="s">
        <v>1173</v>
      </c>
      <c r="J214" s="11" t="s">
        <v>1135</v>
      </c>
      <c r="K214" s="11" t="s">
        <v>1174</v>
      </c>
    </row>
    <row r="215" customFormat="false" ht="15" hidden="false" customHeight="false" outlineLevel="0" collapsed="false">
      <c r="A215" s="11" t="s">
        <v>79</v>
      </c>
      <c r="B215" s="11" t="s">
        <v>73</v>
      </c>
      <c r="C215" s="11" t="s">
        <v>80</v>
      </c>
      <c r="D215" s="11" t="s">
        <v>1249</v>
      </c>
      <c r="E215" s="11" t="s">
        <v>1168</v>
      </c>
      <c r="F215" s="11" t="s">
        <v>1169</v>
      </c>
      <c r="G215" s="11" t="s">
        <v>1250</v>
      </c>
      <c r="H215" s="11" t="s">
        <v>1251</v>
      </c>
      <c r="I215" s="11" t="s">
        <v>1175</v>
      </c>
      <c r="J215" s="11" t="s">
        <v>1135</v>
      </c>
      <c r="K215" s="11" t="s">
        <v>1176</v>
      </c>
    </row>
    <row r="216" customFormat="false" ht="15" hidden="false" customHeight="false" outlineLevel="0" collapsed="false">
      <c r="A216" s="11" t="s">
        <v>79</v>
      </c>
      <c r="B216" s="11" t="s">
        <v>73</v>
      </c>
      <c r="C216" s="11" t="s">
        <v>80</v>
      </c>
      <c r="D216" s="11" t="s">
        <v>1249</v>
      </c>
      <c r="E216" s="11" t="s">
        <v>1168</v>
      </c>
      <c r="F216" s="11" t="s">
        <v>1169</v>
      </c>
      <c r="G216" s="11" t="s">
        <v>1250</v>
      </c>
      <c r="H216" s="11" t="s">
        <v>1251</v>
      </c>
      <c r="I216" s="11" t="s">
        <v>1177</v>
      </c>
      <c r="J216" s="11" t="s">
        <v>1165</v>
      </c>
      <c r="K216" s="11" t="s">
        <v>1178</v>
      </c>
    </row>
    <row r="217" customFormat="false" ht="15" hidden="false" customHeight="false" outlineLevel="0" collapsed="false">
      <c r="A217" s="11" t="s">
        <v>79</v>
      </c>
      <c r="B217" s="11" t="s">
        <v>73</v>
      </c>
      <c r="C217" s="11" t="s">
        <v>80</v>
      </c>
      <c r="D217" s="11" t="s">
        <v>1249</v>
      </c>
      <c r="E217" s="11" t="s">
        <v>1168</v>
      </c>
      <c r="F217" s="11" t="s">
        <v>1169</v>
      </c>
      <c r="G217" s="11" t="s">
        <v>1250</v>
      </c>
      <c r="H217" s="11" t="s">
        <v>1251</v>
      </c>
      <c r="I217" s="11" t="s">
        <v>1179</v>
      </c>
      <c r="J217" s="11" t="s">
        <v>1165</v>
      </c>
      <c r="K217" s="11" t="s">
        <v>1180</v>
      </c>
    </row>
    <row r="218" customFormat="false" ht="15" hidden="false" customHeight="false" outlineLevel="0" collapsed="false">
      <c r="A218" s="11" t="s">
        <v>83</v>
      </c>
      <c r="B218" s="11" t="s">
        <v>73</v>
      </c>
      <c r="C218" s="11" t="s">
        <v>84</v>
      </c>
      <c r="D218" s="11" t="s">
        <v>1189</v>
      </c>
      <c r="E218" s="11" t="s">
        <v>1168</v>
      </c>
      <c r="F218" s="11" t="s">
        <v>1169</v>
      </c>
      <c r="G218" s="11" t="s">
        <v>1190</v>
      </c>
      <c r="H218" s="11" t="s">
        <v>235</v>
      </c>
      <c r="I218" s="11" t="s">
        <v>1171</v>
      </c>
      <c r="J218" s="11" t="s">
        <v>1135</v>
      </c>
      <c r="K218" s="11" t="s">
        <v>1172</v>
      </c>
    </row>
    <row r="219" customFormat="false" ht="15" hidden="false" customHeight="false" outlineLevel="0" collapsed="false">
      <c r="A219" s="11" t="s">
        <v>83</v>
      </c>
      <c r="B219" s="11" t="s">
        <v>73</v>
      </c>
      <c r="C219" s="11" t="s">
        <v>84</v>
      </c>
      <c r="D219" s="11" t="s">
        <v>1189</v>
      </c>
      <c r="E219" s="11" t="s">
        <v>1168</v>
      </c>
      <c r="F219" s="11" t="s">
        <v>1169</v>
      </c>
      <c r="G219" s="11" t="s">
        <v>1190</v>
      </c>
      <c r="H219" s="11" t="s">
        <v>235</v>
      </c>
      <c r="I219" s="11" t="s">
        <v>1173</v>
      </c>
      <c r="J219" s="11" t="s">
        <v>1135</v>
      </c>
      <c r="K219" s="11" t="s">
        <v>1174</v>
      </c>
    </row>
    <row r="220" customFormat="false" ht="15" hidden="false" customHeight="false" outlineLevel="0" collapsed="false">
      <c r="A220" s="11" t="s">
        <v>83</v>
      </c>
      <c r="B220" s="11" t="s">
        <v>73</v>
      </c>
      <c r="C220" s="11" t="s">
        <v>84</v>
      </c>
      <c r="D220" s="11" t="s">
        <v>1189</v>
      </c>
      <c r="E220" s="11" t="s">
        <v>1168</v>
      </c>
      <c r="F220" s="11" t="s">
        <v>1169</v>
      </c>
      <c r="G220" s="11" t="s">
        <v>1190</v>
      </c>
      <c r="H220" s="11" t="s">
        <v>235</v>
      </c>
      <c r="I220" s="11" t="s">
        <v>1175</v>
      </c>
      <c r="J220" s="11" t="s">
        <v>1135</v>
      </c>
      <c r="K220" s="11" t="s">
        <v>1176</v>
      </c>
    </row>
    <row r="221" customFormat="false" ht="15" hidden="false" customHeight="false" outlineLevel="0" collapsed="false">
      <c r="A221" s="11" t="s">
        <v>83</v>
      </c>
      <c r="B221" s="11" t="s">
        <v>73</v>
      </c>
      <c r="C221" s="11" t="s">
        <v>84</v>
      </c>
      <c r="D221" s="11" t="s">
        <v>1189</v>
      </c>
      <c r="E221" s="11" t="s">
        <v>1168</v>
      </c>
      <c r="F221" s="11" t="s">
        <v>1169</v>
      </c>
      <c r="G221" s="11" t="s">
        <v>1190</v>
      </c>
      <c r="H221" s="11" t="s">
        <v>235</v>
      </c>
      <c r="I221" s="11" t="s">
        <v>1177</v>
      </c>
      <c r="J221" s="11" t="s">
        <v>1165</v>
      </c>
      <c r="K221" s="11" t="s">
        <v>1178</v>
      </c>
    </row>
    <row r="222" customFormat="false" ht="15" hidden="false" customHeight="false" outlineLevel="0" collapsed="false">
      <c r="A222" s="11" t="s">
        <v>83</v>
      </c>
      <c r="B222" s="11" t="s">
        <v>73</v>
      </c>
      <c r="C222" s="11" t="s">
        <v>84</v>
      </c>
      <c r="D222" s="11" t="s">
        <v>1189</v>
      </c>
      <c r="E222" s="11" t="s">
        <v>1168</v>
      </c>
      <c r="F222" s="11" t="s">
        <v>1169</v>
      </c>
      <c r="G222" s="11" t="s">
        <v>1190</v>
      </c>
      <c r="H222" s="11" t="s">
        <v>235</v>
      </c>
      <c r="I222" s="11" t="s">
        <v>1179</v>
      </c>
      <c r="J222" s="11" t="s">
        <v>1165</v>
      </c>
      <c r="K222" s="11" t="s">
        <v>1180</v>
      </c>
    </row>
    <row r="223" customFormat="false" ht="22.35" hidden="false" customHeight="false" outlineLevel="0" collapsed="false">
      <c r="A223" s="11" t="s">
        <v>83</v>
      </c>
      <c r="B223" s="11" t="s">
        <v>73</v>
      </c>
      <c r="C223" s="11" t="s">
        <v>84</v>
      </c>
      <c r="D223" s="11" t="s">
        <v>1263</v>
      </c>
      <c r="E223" s="11" t="s">
        <v>1153</v>
      </c>
      <c r="F223" s="11" t="s">
        <v>1264</v>
      </c>
      <c r="G223" s="11" t="s">
        <v>1265</v>
      </c>
      <c r="H223" s="11" t="s">
        <v>1266</v>
      </c>
      <c r="I223" s="11" t="s">
        <v>1157</v>
      </c>
      <c r="J223" s="11" t="s">
        <v>1135</v>
      </c>
      <c r="K223" s="11" t="s">
        <v>1158</v>
      </c>
    </row>
    <row r="224" customFormat="false" ht="22.35" hidden="false" customHeight="false" outlineLevel="0" collapsed="false">
      <c r="A224" s="11" t="s">
        <v>83</v>
      </c>
      <c r="B224" s="11" t="s">
        <v>73</v>
      </c>
      <c r="C224" s="11" t="s">
        <v>84</v>
      </c>
      <c r="D224" s="11" t="s">
        <v>1267</v>
      </c>
      <c r="E224" s="11" t="s">
        <v>1153</v>
      </c>
      <c r="F224" s="11" t="s">
        <v>1264</v>
      </c>
      <c r="G224" s="11" t="s">
        <v>1268</v>
      </c>
      <c r="H224" s="11" t="s">
        <v>1266</v>
      </c>
      <c r="I224" s="11" t="s">
        <v>1269</v>
      </c>
      <c r="J224" s="11"/>
      <c r="K224" s="11"/>
    </row>
    <row r="225" customFormat="false" ht="15" hidden="false" customHeight="false" outlineLevel="0" collapsed="false">
      <c r="A225" s="13" t="s">
        <v>89</v>
      </c>
      <c r="B225" s="13" t="s">
        <v>86</v>
      </c>
      <c r="C225" s="13" t="s">
        <v>90</v>
      </c>
      <c r="D225" s="13" t="s">
        <v>1270</v>
      </c>
      <c r="E225" s="13" t="s">
        <v>1131</v>
      </c>
      <c r="F225" s="13" t="s">
        <v>1271</v>
      </c>
      <c r="G225" s="13" t="s">
        <v>1272</v>
      </c>
      <c r="H225" s="13" t="s">
        <v>972</v>
      </c>
      <c r="I225" s="13" t="s">
        <v>1225</v>
      </c>
      <c r="J225" s="13" t="s">
        <v>1135</v>
      </c>
      <c r="K225" s="13" t="s">
        <v>1226</v>
      </c>
    </row>
    <row r="226" customFormat="false" ht="15" hidden="false" customHeight="false" outlineLevel="0" collapsed="false">
      <c r="A226" s="13" t="s">
        <v>89</v>
      </c>
      <c r="B226" s="13" t="s">
        <v>86</v>
      </c>
      <c r="C226" s="13" t="s">
        <v>90</v>
      </c>
      <c r="D226" s="13" t="s">
        <v>1270</v>
      </c>
      <c r="E226" s="13" t="s">
        <v>1131</v>
      </c>
      <c r="F226" s="13" t="s">
        <v>1271</v>
      </c>
      <c r="G226" s="13" t="s">
        <v>1272</v>
      </c>
      <c r="H226" s="13" t="s">
        <v>972</v>
      </c>
      <c r="I226" s="13" t="s">
        <v>1273</v>
      </c>
      <c r="J226" s="13" t="s">
        <v>1274</v>
      </c>
      <c r="K226" s="13" t="s">
        <v>1275</v>
      </c>
    </row>
    <row r="227" customFormat="false" ht="22.35" hidden="false" customHeight="false" outlineLevel="0" collapsed="false">
      <c r="A227" s="13" t="s">
        <v>89</v>
      </c>
      <c r="B227" s="13" t="s">
        <v>86</v>
      </c>
      <c r="C227" s="13" t="s">
        <v>90</v>
      </c>
      <c r="D227" s="13" t="s">
        <v>1270</v>
      </c>
      <c r="E227" s="13" t="s">
        <v>1131</v>
      </c>
      <c r="F227" s="13" t="s">
        <v>1271</v>
      </c>
      <c r="G227" s="13" t="s">
        <v>1272</v>
      </c>
      <c r="H227" s="13" t="s">
        <v>972</v>
      </c>
      <c r="I227" s="13" t="s">
        <v>1227</v>
      </c>
      <c r="J227" s="13" t="s">
        <v>1165</v>
      </c>
      <c r="K227" s="13" t="s">
        <v>1228</v>
      </c>
    </row>
    <row r="228" customFormat="false" ht="15" hidden="false" customHeight="false" outlineLevel="0" collapsed="false">
      <c r="A228" s="13" t="s">
        <v>89</v>
      </c>
      <c r="B228" s="13" t="s">
        <v>86</v>
      </c>
      <c r="C228" s="13" t="s">
        <v>90</v>
      </c>
      <c r="D228" s="13" t="s">
        <v>1276</v>
      </c>
      <c r="E228" s="13" t="s">
        <v>1131</v>
      </c>
      <c r="F228" s="13" t="s">
        <v>1277</v>
      </c>
      <c r="G228" s="13" t="s">
        <v>1278</v>
      </c>
      <c r="H228" s="13" t="s">
        <v>972</v>
      </c>
      <c r="I228" s="13" t="s">
        <v>1225</v>
      </c>
      <c r="J228" s="13" t="s">
        <v>1135</v>
      </c>
      <c r="K228" s="13" t="s">
        <v>1226</v>
      </c>
    </row>
    <row r="229" customFormat="false" ht="15" hidden="false" customHeight="false" outlineLevel="0" collapsed="false">
      <c r="A229" s="13" t="s">
        <v>89</v>
      </c>
      <c r="B229" s="13" t="s">
        <v>86</v>
      </c>
      <c r="C229" s="13" t="s">
        <v>90</v>
      </c>
      <c r="D229" s="13" t="s">
        <v>1276</v>
      </c>
      <c r="E229" s="13" t="s">
        <v>1131</v>
      </c>
      <c r="F229" s="13" t="s">
        <v>1277</v>
      </c>
      <c r="G229" s="13" t="s">
        <v>1278</v>
      </c>
      <c r="H229" s="13" t="s">
        <v>972</v>
      </c>
      <c r="I229" s="13" t="s">
        <v>1273</v>
      </c>
      <c r="J229" s="13" t="s">
        <v>1274</v>
      </c>
      <c r="K229" s="13" t="s">
        <v>1275</v>
      </c>
    </row>
    <row r="230" customFormat="false" ht="22.35" hidden="false" customHeight="false" outlineLevel="0" collapsed="false">
      <c r="A230" s="13" t="s">
        <v>89</v>
      </c>
      <c r="B230" s="13" t="s">
        <v>86</v>
      </c>
      <c r="C230" s="13" t="s">
        <v>90</v>
      </c>
      <c r="D230" s="13" t="s">
        <v>1276</v>
      </c>
      <c r="E230" s="13" t="s">
        <v>1131</v>
      </c>
      <c r="F230" s="13" t="s">
        <v>1277</v>
      </c>
      <c r="G230" s="13" t="s">
        <v>1278</v>
      </c>
      <c r="H230" s="13" t="s">
        <v>972</v>
      </c>
      <c r="I230" s="13" t="s">
        <v>1227</v>
      </c>
      <c r="J230" s="13" t="s">
        <v>1165</v>
      </c>
      <c r="K230" s="13" t="s">
        <v>1228</v>
      </c>
    </row>
    <row r="231" customFormat="false" ht="15" hidden="false" customHeight="false" outlineLevel="0" collapsed="false">
      <c r="A231" s="13" t="s">
        <v>89</v>
      </c>
      <c r="B231" s="13" t="s">
        <v>86</v>
      </c>
      <c r="C231" s="13" t="s">
        <v>90</v>
      </c>
      <c r="D231" s="13" t="s">
        <v>1279</v>
      </c>
      <c r="E231" s="13" t="s">
        <v>1131</v>
      </c>
      <c r="F231" s="13" t="s">
        <v>1277</v>
      </c>
      <c r="G231" s="13" t="s">
        <v>1280</v>
      </c>
      <c r="H231" s="13" t="s">
        <v>972</v>
      </c>
      <c r="I231" s="13" t="s">
        <v>1225</v>
      </c>
      <c r="J231" s="13" t="s">
        <v>1135</v>
      </c>
      <c r="K231" s="13" t="s">
        <v>1226</v>
      </c>
    </row>
    <row r="232" customFormat="false" ht="15" hidden="false" customHeight="false" outlineLevel="0" collapsed="false">
      <c r="A232" s="13" t="s">
        <v>89</v>
      </c>
      <c r="B232" s="13" t="s">
        <v>86</v>
      </c>
      <c r="C232" s="13" t="s">
        <v>90</v>
      </c>
      <c r="D232" s="13" t="s">
        <v>1279</v>
      </c>
      <c r="E232" s="13" t="s">
        <v>1131</v>
      </c>
      <c r="F232" s="13" t="s">
        <v>1277</v>
      </c>
      <c r="G232" s="13" t="s">
        <v>1280</v>
      </c>
      <c r="H232" s="13" t="s">
        <v>972</v>
      </c>
      <c r="I232" s="13" t="s">
        <v>1273</v>
      </c>
      <c r="J232" s="13" t="s">
        <v>1274</v>
      </c>
      <c r="K232" s="13" t="s">
        <v>1275</v>
      </c>
    </row>
    <row r="233" customFormat="false" ht="22.35" hidden="false" customHeight="false" outlineLevel="0" collapsed="false">
      <c r="A233" s="13" t="s">
        <v>89</v>
      </c>
      <c r="B233" s="13" t="s">
        <v>86</v>
      </c>
      <c r="C233" s="13" t="s">
        <v>90</v>
      </c>
      <c r="D233" s="13" t="s">
        <v>1279</v>
      </c>
      <c r="E233" s="13" t="s">
        <v>1131</v>
      </c>
      <c r="F233" s="13" t="s">
        <v>1277</v>
      </c>
      <c r="G233" s="13" t="s">
        <v>1280</v>
      </c>
      <c r="H233" s="13" t="s">
        <v>972</v>
      </c>
      <c r="I233" s="13" t="s">
        <v>1227</v>
      </c>
      <c r="J233" s="13" t="s">
        <v>1165</v>
      </c>
      <c r="K233" s="13" t="s">
        <v>1228</v>
      </c>
    </row>
    <row r="234" customFormat="false" ht="22.35" hidden="false" customHeight="false" outlineLevel="0" collapsed="false">
      <c r="A234" s="13" t="s">
        <v>89</v>
      </c>
      <c r="B234" s="13" t="s">
        <v>86</v>
      </c>
      <c r="C234" s="13" t="s">
        <v>90</v>
      </c>
      <c r="D234" s="13" t="s">
        <v>1281</v>
      </c>
      <c r="E234" s="13" t="s">
        <v>1192</v>
      </c>
      <c r="F234" s="13" t="s">
        <v>1282</v>
      </c>
      <c r="G234" s="13" t="s">
        <v>1283</v>
      </c>
      <c r="H234" s="13" t="s">
        <v>1284</v>
      </c>
      <c r="I234" s="13" t="s">
        <v>1150</v>
      </c>
      <c r="J234" s="13" t="s">
        <v>1135</v>
      </c>
      <c r="K234" s="13" t="s">
        <v>1151</v>
      </c>
    </row>
    <row r="235" customFormat="false" ht="22.35" hidden="false" customHeight="false" outlineLevel="0" collapsed="false">
      <c r="A235" s="13" t="s">
        <v>89</v>
      </c>
      <c r="B235" s="13" t="s">
        <v>86</v>
      </c>
      <c r="C235" s="13" t="s">
        <v>90</v>
      </c>
      <c r="D235" s="13" t="s">
        <v>1281</v>
      </c>
      <c r="E235" s="13" t="s">
        <v>1192</v>
      </c>
      <c r="F235" s="13" t="s">
        <v>1282</v>
      </c>
      <c r="G235" s="13" t="s">
        <v>1283</v>
      </c>
      <c r="H235" s="13" t="s">
        <v>1284</v>
      </c>
      <c r="I235" s="13" t="s">
        <v>1285</v>
      </c>
      <c r="J235" s="13" t="s">
        <v>1165</v>
      </c>
      <c r="K235" s="13" t="s">
        <v>1286</v>
      </c>
    </row>
    <row r="236" customFormat="false" ht="15" hidden="false" customHeight="false" outlineLevel="0" collapsed="false">
      <c r="A236" s="13" t="s">
        <v>89</v>
      </c>
      <c r="B236" s="13" t="s">
        <v>86</v>
      </c>
      <c r="C236" s="13" t="s">
        <v>90</v>
      </c>
      <c r="D236" s="13" t="s">
        <v>1287</v>
      </c>
      <c r="E236" s="13" t="s">
        <v>1131</v>
      </c>
      <c r="F236" s="13" t="s">
        <v>1288</v>
      </c>
      <c r="G236" s="13" t="s">
        <v>1289</v>
      </c>
      <c r="H236" s="13" t="s">
        <v>1284</v>
      </c>
      <c r="I236" s="13" t="s">
        <v>1134</v>
      </c>
      <c r="J236" s="13" t="s">
        <v>1135</v>
      </c>
      <c r="K236" s="13" t="s">
        <v>1136</v>
      </c>
    </row>
    <row r="237" customFormat="false" ht="15" hidden="false" customHeight="false" outlineLevel="0" collapsed="false">
      <c r="A237" s="13" t="s">
        <v>89</v>
      </c>
      <c r="B237" s="13" t="s">
        <v>86</v>
      </c>
      <c r="C237" s="13" t="s">
        <v>90</v>
      </c>
      <c r="D237" s="13" t="s">
        <v>1287</v>
      </c>
      <c r="E237" s="13" t="s">
        <v>1131</v>
      </c>
      <c r="F237" s="13" t="s">
        <v>1288</v>
      </c>
      <c r="G237" s="13" t="s">
        <v>1289</v>
      </c>
      <c r="H237" s="13" t="s">
        <v>1284</v>
      </c>
      <c r="I237" s="13" t="s">
        <v>1137</v>
      </c>
      <c r="J237" s="13" t="s">
        <v>1135</v>
      </c>
      <c r="K237" s="13" t="s">
        <v>1138</v>
      </c>
    </row>
    <row r="238" customFormat="false" ht="15" hidden="false" customHeight="false" outlineLevel="0" collapsed="false">
      <c r="A238" s="13" t="s">
        <v>89</v>
      </c>
      <c r="B238" s="13" t="s">
        <v>86</v>
      </c>
      <c r="C238" s="13" t="s">
        <v>90</v>
      </c>
      <c r="D238" s="13" t="s">
        <v>1287</v>
      </c>
      <c r="E238" s="13" t="s">
        <v>1131</v>
      </c>
      <c r="F238" s="13" t="s">
        <v>1288</v>
      </c>
      <c r="G238" s="13" t="s">
        <v>1289</v>
      </c>
      <c r="H238" s="13" t="s">
        <v>1284</v>
      </c>
      <c r="I238" s="13" t="s">
        <v>1139</v>
      </c>
      <c r="J238" s="13" t="s">
        <v>1135</v>
      </c>
      <c r="K238" s="13" t="s">
        <v>1140</v>
      </c>
    </row>
    <row r="239" customFormat="false" ht="15" hidden="false" customHeight="false" outlineLevel="0" collapsed="false">
      <c r="A239" s="13" t="s">
        <v>89</v>
      </c>
      <c r="B239" s="13" t="s">
        <v>86</v>
      </c>
      <c r="C239" s="13" t="s">
        <v>90</v>
      </c>
      <c r="D239" s="13" t="s">
        <v>1290</v>
      </c>
      <c r="E239" s="13" t="s">
        <v>1192</v>
      </c>
      <c r="F239" s="13" t="s">
        <v>1291</v>
      </c>
      <c r="G239" s="13" t="s">
        <v>1292</v>
      </c>
      <c r="H239" s="13" t="s">
        <v>1284</v>
      </c>
      <c r="I239" s="13" t="s">
        <v>1171</v>
      </c>
      <c r="J239" s="13" t="s">
        <v>1135</v>
      </c>
      <c r="K239" s="13" t="s">
        <v>1172</v>
      </c>
    </row>
    <row r="240" customFormat="false" ht="15" hidden="false" customHeight="false" outlineLevel="0" collapsed="false">
      <c r="A240" s="13" t="s">
        <v>89</v>
      </c>
      <c r="B240" s="13" t="s">
        <v>86</v>
      </c>
      <c r="C240" s="13" t="s">
        <v>90</v>
      </c>
      <c r="D240" s="13" t="s">
        <v>1290</v>
      </c>
      <c r="E240" s="13" t="s">
        <v>1192</v>
      </c>
      <c r="F240" s="13" t="s">
        <v>1291</v>
      </c>
      <c r="G240" s="13" t="s">
        <v>1292</v>
      </c>
      <c r="H240" s="13" t="s">
        <v>1284</v>
      </c>
      <c r="I240" s="13" t="s">
        <v>1150</v>
      </c>
      <c r="J240" s="13" t="s">
        <v>1135</v>
      </c>
      <c r="K240" s="13" t="s">
        <v>1151</v>
      </c>
    </row>
    <row r="241" customFormat="false" ht="15" hidden="false" customHeight="false" outlineLevel="0" collapsed="false">
      <c r="A241" s="13" t="s">
        <v>92</v>
      </c>
      <c r="B241" s="13" t="s">
        <v>86</v>
      </c>
      <c r="C241" s="13" t="s">
        <v>93</v>
      </c>
      <c r="D241" s="13" t="s">
        <v>1293</v>
      </c>
      <c r="E241" s="13" t="s">
        <v>1294</v>
      </c>
      <c r="F241" s="13" t="s">
        <v>1295</v>
      </c>
      <c r="G241" s="13" t="s">
        <v>1296</v>
      </c>
      <c r="H241" s="13" t="s">
        <v>972</v>
      </c>
      <c r="I241" s="13" t="s">
        <v>1297</v>
      </c>
      <c r="J241" s="13" t="s">
        <v>1135</v>
      </c>
      <c r="K241" s="13" t="s">
        <v>1298</v>
      </c>
    </row>
    <row r="242" customFormat="false" ht="15" hidden="false" customHeight="false" outlineLevel="0" collapsed="false">
      <c r="A242" s="13" t="s">
        <v>92</v>
      </c>
      <c r="B242" s="13" t="s">
        <v>86</v>
      </c>
      <c r="C242" s="13" t="s">
        <v>93</v>
      </c>
      <c r="D242" s="13" t="s">
        <v>1293</v>
      </c>
      <c r="E242" s="13" t="s">
        <v>1294</v>
      </c>
      <c r="F242" s="13" t="s">
        <v>1295</v>
      </c>
      <c r="G242" s="13" t="s">
        <v>1296</v>
      </c>
      <c r="H242" s="13" t="s">
        <v>972</v>
      </c>
      <c r="I242" s="13" t="s">
        <v>1139</v>
      </c>
      <c r="J242" s="13" t="s">
        <v>1135</v>
      </c>
      <c r="K242" s="13" t="s">
        <v>1140</v>
      </c>
    </row>
    <row r="243" customFormat="false" ht="15" hidden="false" customHeight="false" outlineLevel="0" collapsed="false">
      <c r="A243" s="13" t="s">
        <v>92</v>
      </c>
      <c r="B243" s="13" t="s">
        <v>86</v>
      </c>
      <c r="C243" s="13" t="s">
        <v>93</v>
      </c>
      <c r="D243" s="13" t="s">
        <v>1299</v>
      </c>
      <c r="E243" s="13" t="s">
        <v>1294</v>
      </c>
      <c r="F243" s="13" t="s">
        <v>1295</v>
      </c>
      <c r="G243" s="13" t="s">
        <v>1300</v>
      </c>
      <c r="H243" s="13" t="s">
        <v>972</v>
      </c>
      <c r="I243" s="13" t="s">
        <v>1301</v>
      </c>
      <c r="J243" s="13" t="s">
        <v>1274</v>
      </c>
      <c r="K243" s="13" t="s">
        <v>1302</v>
      </c>
    </row>
    <row r="244" customFormat="false" ht="15" hidden="false" customHeight="false" outlineLevel="0" collapsed="false">
      <c r="A244" s="13" t="s">
        <v>92</v>
      </c>
      <c r="B244" s="13" t="s">
        <v>86</v>
      </c>
      <c r="C244" s="13" t="s">
        <v>93</v>
      </c>
      <c r="D244" s="13" t="s">
        <v>1299</v>
      </c>
      <c r="E244" s="13" t="s">
        <v>1294</v>
      </c>
      <c r="F244" s="13" t="s">
        <v>1295</v>
      </c>
      <c r="G244" s="13" t="s">
        <v>1300</v>
      </c>
      <c r="H244" s="13" t="s">
        <v>972</v>
      </c>
      <c r="I244" s="13" t="s">
        <v>1273</v>
      </c>
      <c r="J244" s="13" t="s">
        <v>1274</v>
      </c>
      <c r="K244" s="13" t="s">
        <v>1275</v>
      </c>
    </row>
    <row r="245" customFormat="false" ht="22.35" hidden="false" customHeight="false" outlineLevel="0" collapsed="false">
      <c r="A245" s="13" t="s">
        <v>92</v>
      </c>
      <c r="B245" s="13" t="s">
        <v>86</v>
      </c>
      <c r="C245" s="13" t="s">
        <v>93</v>
      </c>
      <c r="D245" s="13" t="s">
        <v>1299</v>
      </c>
      <c r="E245" s="13" t="s">
        <v>1294</v>
      </c>
      <c r="F245" s="13" t="s">
        <v>1295</v>
      </c>
      <c r="G245" s="13" t="s">
        <v>1300</v>
      </c>
      <c r="H245" s="13" t="s">
        <v>972</v>
      </c>
      <c r="I245" s="13" t="s">
        <v>1227</v>
      </c>
      <c r="J245" s="13" t="s">
        <v>1165</v>
      </c>
      <c r="K245" s="13" t="s">
        <v>1228</v>
      </c>
    </row>
    <row r="246" customFormat="false" ht="22.35" hidden="false" customHeight="false" outlineLevel="0" collapsed="false">
      <c r="A246" s="13" t="s">
        <v>92</v>
      </c>
      <c r="B246" s="13" t="s">
        <v>86</v>
      </c>
      <c r="C246" s="13" t="s">
        <v>93</v>
      </c>
      <c r="D246" s="13" t="s">
        <v>1303</v>
      </c>
      <c r="E246" s="13" t="s">
        <v>1294</v>
      </c>
      <c r="F246" s="13" t="s">
        <v>1295</v>
      </c>
      <c r="G246" s="13" t="s">
        <v>1304</v>
      </c>
      <c r="H246" s="13" t="s">
        <v>314</v>
      </c>
      <c r="I246" s="13" t="s">
        <v>1171</v>
      </c>
      <c r="J246" s="13" t="s">
        <v>1135</v>
      </c>
      <c r="K246" s="13" t="s">
        <v>1172</v>
      </c>
    </row>
    <row r="247" customFormat="false" ht="22.35" hidden="false" customHeight="false" outlineLevel="0" collapsed="false">
      <c r="A247" s="13" t="s">
        <v>92</v>
      </c>
      <c r="B247" s="13" t="s">
        <v>86</v>
      </c>
      <c r="C247" s="13" t="s">
        <v>93</v>
      </c>
      <c r="D247" s="13" t="s">
        <v>1303</v>
      </c>
      <c r="E247" s="13" t="s">
        <v>1294</v>
      </c>
      <c r="F247" s="13" t="s">
        <v>1295</v>
      </c>
      <c r="G247" s="13" t="s">
        <v>1304</v>
      </c>
      <c r="H247" s="13" t="s">
        <v>314</v>
      </c>
      <c r="I247" s="13" t="s">
        <v>1148</v>
      </c>
      <c r="J247" s="13" t="s">
        <v>1135</v>
      </c>
      <c r="K247" s="13" t="s">
        <v>1149</v>
      </c>
    </row>
    <row r="248" customFormat="false" ht="15" hidden="false" customHeight="false" outlineLevel="0" collapsed="false">
      <c r="A248" s="13" t="s">
        <v>92</v>
      </c>
      <c r="B248" s="13" t="s">
        <v>86</v>
      </c>
      <c r="C248" s="13" t="s">
        <v>93</v>
      </c>
      <c r="D248" s="13" t="s">
        <v>1305</v>
      </c>
      <c r="E248" s="13" t="s">
        <v>1294</v>
      </c>
      <c r="F248" s="13" t="s">
        <v>1295</v>
      </c>
      <c r="G248" s="13" t="s">
        <v>1306</v>
      </c>
      <c r="H248" s="13" t="s">
        <v>961</v>
      </c>
      <c r="I248" s="13" t="s">
        <v>1307</v>
      </c>
      <c r="J248" s="13" t="s">
        <v>1135</v>
      </c>
      <c r="K248" s="13" t="s">
        <v>1308</v>
      </c>
    </row>
    <row r="249" customFormat="false" ht="15" hidden="false" customHeight="false" outlineLevel="0" collapsed="false">
      <c r="A249" s="13" t="s">
        <v>92</v>
      </c>
      <c r="B249" s="13" t="s">
        <v>86</v>
      </c>
      <c r="C249" s="13" t="s">
        <v>93</v>
      </c>
      <c r="D249" s="13" t="s">
        <v>1305</v>
      </c>
      <c r="E249" s="13" t="s">
        <v>1294</v>
      </c>
      <c r="F249" s="13" t="s">
        <v>1295</v>
      </c>
      <c r="G249" s="13" t="s">
        <v>1306</v>
      </c>
      <c r="H249" s="13" t="s">
        <v>961</v>
      </c>
      <c r="I249" s="13" t="s">
        <v>1150</v>
      </c>
      <c r="J249" s="13" t="s">
        <v>1135</v>
      </c>
      <c r="K249" s="13" t="s">
        <v>1151</v>
      </c>
    </row>
    <row r="250" customFormat="false" ht="15" hidden="false" customHeight="false" outlineLevel="0" collapsed="false">
      <c r="A250" s="13" t="s">
        <v>92</v>
      </c>
      <c r="B250" s="13" t="s">
        <v>86</v>
      </c>
      <c r="C250" s="13" t="s">
        <v>93</v>
      </c>
      <c r="D250" s="13" t="s">
        <v>1309</v>
      </c>
      <c r="E250" s="13" t="s">
        <v>1294</v>
      </c>
      <c r="F250" s="13" t="s">
        <v>1295</v>
      </c>
      <c r="G250" s="13" t="s">
        <v>1310</v>
      </c>
      <c r="H250" s="13" t="s">
        <v>1248</v>
      </c>
      <c r="I250" s="13" t="s">
        <v>1171</v>
      </c>
      <c r="J250" s="13" t="s">
        <v>1135</v>
      </c>
      <c r="K250" s="13" t="s">
        <v>1172</v>
      </c>
    </row>
    <row r="251" customFormat="false" ht="15" hidden="false" customHeight="false" outlineLevel="0" collapsed="false">
      <c r="A251" s="13" t="s">
        <v>92</v>
      </c>
      <c r="B251" s="13" t="s">
        <v>86</v>
      </c>
      <c r="C251" s="13" t="s">
        <v>93</v>
      </c>
      <c r="D251" s="13" t="s">
        <v>1309</v>
      </c>
      <c r="E251" s="13" t="s">
        <v>1294</v>
      </c>
      <c r="F251" s="13" t="s">
        <v>1295</v>
      </c>
      <c r="G251" s="13" t="s">
        <v>1310</v>
      </c>
      <c r="H251" s="13" t="s">
        <v>1248</v>
      </c>
      <c r="I251" s="13" t="s">
        <v>1240</v>
      </c>
      <c r="J251" s="13" t="s">
        <v>1135</v>
      </c>
      <c r="K251" s="13" t="s">
        <v>1241</v>
      </c>
    </row>
    <row r="252" customFormat="false" ht="15" hidden="false" customHeight="false" outlineLevel="0" collapsed="false">
      <c r="A252" s="13" t="s">
        <v>92</v>
      </c>
      <c r="B252" s="13" t="s">
        <v>86</v>
      </c>
      <c r="C252" s="13" t="s">
        <v>93</v>
      </c>
      <c r="D252" s="13" t="s">
        <v>1309</v>
      </c>
      <c r="E252" s="13" t="s">
        <v>1294</v>
      </c>
      <c r="F252" s="13" t="s">
        <v>1295</v>
      </c>
      <c r="G252" s="13" t="s">
        <v>1310</v>
      </c>
      <c r="H252" s="13" t="s">
        <v>1248</v>
      </c>
      <c r="I252" s="13" t="s">
        <v>1177</v>
      </c>
      <c r="J252" s="13" t="s">
        <v>1165</v>
      </c>
      <c r="K252" s="13" t="s">
        <v>1178</v>
      </c>
    </row>
    <row r="253" customFormat="false" ht="22.35" hidden="false" customHeight="false" outlineLevel="0" collapsed="false">
      <c r="A253" s="13" t="s">
        <v>92</v>
      </c>
      <c r="B253" s="13" t="s">
        <v>86</v>
      </c>
      <c r="C253" s="13" t="s">
        <v>93</v>
      </c>
      <c r="D253" s="13" t="s">
        <v>1311</v>
      </c>
      <c r="E253" s="13" t="s">
        <v>1294</v>
      </c>
      <c r="F253" s="13" t="s">
        <v>1295</v>
      </c>
      <c r="G253" s="13" t="s">
        <v>1312</v>
      </c>
      <c r="H253" s="13" t="s">
        <v>314</v>
      </c>
      <c r="I253" s="13" t="s">
        <v>1157</v>
      </c>
      <c r="J253" s="13" t="s">
        <v>1135</v>
      </c>
      <c r="K253" s="13" t="s">
        <v>1158</v>
      </c>
    </row>
    <row r="254" customFormat="false" ht="15" hidden="false" customHeight="false" outlineLevel="0" collapsed="false">
      <c r="A254" s="13" t="s">
        <v>92</v>
      </c>
      <c r="B254" s="13" t="s">
        <v>86</v>
      </c>
      <c r="C254" s="13" t="s">
        <v>93</v>
      </c>
      <c r="D254" s="13" t="s">
        <v>1313</v>
      </c>
      <c r="E254" s="13" t="s">
        <v>1314</v>
      </c>
      <c r="F254" s="13" t="s">
        <v>1315</v>
      </c>
      <c r="G254" s="13" t="s">
        <v>1316</v>
      </c>
      <c r="H254" s="13" t="s">
        <v>314</v>
      </c>
      <c r="I254" s="13" t="s">
        <v>1301</v>
      </c>
      <c r="J254" s="13" t="s">
        <v>1274</v>
      </c>
      <c r="K254" s="13" t="s">
        <v>1302</v>
      </c>
    </row>
    <row r="255" customFormat="false" ht="15" hidden="false" customHeight="false" outlineLevel="0" collapsed="false">
      <c r="A255" s="13" t="s">
        <v>92</v>
      </c>
      <c r="B255" s="13" t="s">
        <v>86</v>
      </c>
      <c r="C255" s="13" t="s">
        <v>93</v>
      </c>
      <c r="D255" s="13" t="s">
        <v>1313</v>
      </c>
      <c r="E255" s="13" t="s">
        <v>1314</v>
      </c>
      <c r="F255" s="13" t="s">
        <v>1315</v>
      </c>
      <c r="G255" s="13" t="s">
        <v>1316</v>
      </c>
      <c r="H255" s="13" t="s">
        <v>314</v>
      </c>
      <c r="I255" s="13" t="s">
        <v>1273</v>
      </c>
      <c r="J255" s="13" t="s">
        <v>1274</v>
      </c>
      <c r="K255" s="13" t="s">
        <v>1275</v>
      </c>
    </row>
    <row r="256" customFormat="false" ht="15" hidden="false" customHeight="false" outlineLevel="0" collapsed="false">
      <c r="A256" s="13" t="s">
        <v>96</v>
      </c>
      <c r="B256" s="13" t="s">
        <v>86</v>
      </c>
      <c r="C256" s="13" t="s">
        <v>97</v>
      </c>
      <c r="D256" s="13" t="s">
        <v>1317</v>
      </c>
      <c r="E256" s="13" t="s">
        <v>1131</v>
      </c>
      <c r="F256" s="13" t="s">
        <v>1318</v>
      </c>
      <c r="G256" s="13" t="s">
        <v>1319</v>
      </c>
      <c r="H256" s="13" t="s">
        <v>1284</v>
      </c>
      <c r="I256" s="13" t="s">
        <v>1171</v>
      </c>
      <c r="J256" s="13" t="s">
        <v>1135</v>
      </c>
      <c r="K256" s="13" t="s">
        <v>1172</v>
      </c>
    </row>
    <row r="257" customFormat="false" ht="15" hidden="false" customHeight="false" outlineLevel="0" collapsed="false">
      <c r="A257" s="13" t="s">
        <v>96</v>
      </c>
      <c r="B257" s="13" t="s">
        <v>86</v>
      </c>
      <c r="C257" s="13" t="s">
        <v>97</v>
      </c>
      <c r="D257" s="13" t="s">
        <v>1317</v>
      </c>
      <c r="E257" s="13" t="s">
        <v>1131</v>
      </c>
      <c r="F257" s="13" t="s">
        <v>1318</v>
      </c>
      <c r="G257" s="13" t="s">
        <v>1319</v>
      </c>
      <c r="H257" s="13" t="s">
        <v>1284</v>
      </c>
      <c r="I257" s="13" t="s">
        <v>1175</v>
      </c>
      <c r="J257" s="13" t="s">
        <v>1135</v>
      </c>
      <c r="K257" s="13" t="s">
        <v>1176</v>
      </c>
    </row>
    <row r="258" customFormat="false" ht="22.35" hidden="false" customHeight="false" outlineLevel="0" collapsed="false">
      <c r="A258" s="13" t="s">
        <v>96</v>
      </c>
      <c r="B258" s="13" t="s">
        <v>86</v>
      </c>
      <c r="C258" s="13" t="s">
        <v>97</v>
      </c>
      <c r="D258" s="13" t="s">
        <v>1317</v>
      </c>
      <c r="E258" s="13" t="s">
        <v>1131</v>
      </c>
      <c r="F258" s="13" t="s">
        <v>1318</v>
      </c>
      <c r="G258" s="13" t="s">
        <v>1319</v>
      </c>
      <c r="H258" s="13" t="s">
        <v>1284</v>
      </c>
      <c r="I258" s="13" t="s">
        <v>1285</v>
      </c>
      <c r="J258" s="13" t="s">
        <v>1165</v>
      </c>
      <c r="K258" s="13" t="s">
        <v>1286</v>
      </c>
    </row>
    <row r="259" customFormat="false" ht="15" hidden="false" customHeight="false" outlineLevel="0" collapsed="false">
      <c r="A259" s="13" t="s">
        <v>96</v>
      </c>
      <c r="B259" s="13" t="s">
        <v>86</v>
      </c>
      <c r="C259" s="13" t="s">
        <v>97</v>
      </c>
      <c r="D259" s="13" t="s">
        <v>1317</v>
      </c>
      <c r="E259" s="13" t="s">
        <v>1131</v>
      </c>
      <c r="F259" s="13" t="s">
        <v>1318</v>
      </c>
      <c r="G259" s="13" t="s">
        <v>1319</v>
      </c>
      <c r="H259" s="13" t="s">
        <v>1284</v>
      </c>
      <c r="I259" s="13" t="s">
        <v>1179</v>
      </c>
      <c r="J259" s="13" t="s">
        <v>1165</v>
      </c>
      <c r="K259" s="13" t="s">
        <v>1180</v>
      </c>
    </row>
    <row r="260" customFormat="false" ht="15" hidden="false" customHeight="false" outlineLevel="0" collapsed="false">
      <c r="A260" s="13" t="s">
        <v>96</v>
      </c>
      <c r="B260" s="13" t="s">
        <v>86</v>
      </c>
      <c r="C260" s="13" t="s">
        <v>97</v>
      </c>
      <c r="D260" s="13" t="s">
        <v>1320</v>
      </c>
      <c r="E260" s="13" t="s">
        <v>1131</v>
      </c>
      <c r="F260" s="13" t="s">
        <v>1318</v>
      </c>
      <c r="G260" s="13" t="s">
        <v>1321</v>
      </c>
      <c r="H260" s="13" t="s">
        <v>1284</v>
      </c>
      <c r="I260" s="13" t="s">
        <v>1171</v>
      </c>
      <c r="J260" s="13" t="s">
        <v>1135</v>
      </c>
      <c r="K260" s="13" t="s">
        <v>1172</v>
      </c>
    </row>
    <row r="261" customFormat="false" ht="15" hidden="false" customHeight="false" outlineLevel="0" collapsed="false">
      <c r="A261" s="13" t="s">
        <v>96</v>
      </c>
      <c r="B261" s="13" t="s">
        <v>86</v>
      </c>
      <c r="C261" s="13" t="s">
        <v>97</v>
      </c>
      <c r="D261" s="13" t="s">
        <v>1320</v>
      </c>
      <c r="E261" s="13" t="s">
        <v>1131</v>
      </c>
      <c r="F261" s="13" t="s">
        <v>1318</v>
      </c>
      <c r="G261" s="13" t="s">
        <v>1321</v>
      </c>
      <c r="H261" s="13" t="s">
        <v>1284</v>
      </c>
      <c r="I261" s="13" t="s">
        <v>1175</v>
      </c>
      <c r="J261" s="13" t="s">
        <v>1135</v>
      </c>
      <c r="K261" s="13" t="s">
        <v>1176</v>
      </c>
    </row>
    <row r="262" customFormat="false" ht="22.35" hidden="false" customHeight="false" outlineLevel="0" collapsed="false">
      <c r="A262" s="13" t="s">
        <v>96</v>
      </c>
      <c r="B262" s="13" t="s">
        <v>86</v>
      </c>
      <c r="C262" s="13" t="s">
        <v>97</v>
      </c>
      <c r="D262" s="13" t="s">
        <v>1320</v>
      </c>
      <c r="E262" s="13" t="s">
        <v>1131</v>
      </c>
      <c r="F262" s="13" t="s">
        <v>1318</v>
      </c>
      <c r="G262" s="13" t="s">
        <v>1321</v>
      </c>
      <c r="H262" s="13" t="s">
        <v>1284</v>
      </c>
      <c r="I262" s="13" t="s">
        <v>1285</v>
      </c>
      <c r="J262" s="13" t="s">
        <v>1165</v>
      </c>
      <c r="K262" s="13" t="s">
        <v>1286</v>
      </c>
    </row>
    <row r="263" customFormat="false" ht="15" hidden="false" customHeight="false" outlineLevel="0" collapsed="false">
      <c r="A263" s="13" t="s">
        <v>96</v>
      </c>
      <c r="B263" s="13" t="s">
        <v>86</v>
      </c>
      <c r="C263" s="13" t="s">
        <v>97</v>
      </c>
      <c r="D263" s="13" t="s">
        <v>1320</v>
      </c>
      <c r="E263" s="13" t="s">
        <v>1131</v>
      </c>
      <c r="F263" s="13" t="s">
        <v>1318</v>
      </c>
      <c r="G263" s="13" t="s">
        <v>1321</v>
      </c>
      <c r="H263" s="13" t="s">
        <v>1284</v>
      </c>
      <c r="I263" s="13" t="s">
        <v>1179</v>
      </c>
      <c r="J263" s="13" t="s">
        <v>1165</v>
      </c>
      <c r="K263" s="13" t="s">
        <v>1180</v>
      </c>
    </row>
    <row r="264" customFormat="false" ht="15" hidden="false" customHeight="false" outlineLevel="0" collapsed="false">
      <c r="A264" s="13" t="s">
        <v>96</v>
      </c>
      <c r="B264" s="13" t="s">
        <v>86</v>
      </c>
      <c r="C264" s="13" t="s">
        <v>97</v>
      </c>
      <c r="D264" s="13" t="s">
        <v>1322</v>
      </c>
      <c r="E264" s="13" t="s">
        <v>1131</v>
      </c>
      <c r="F264" s="13" t="s">
        <v>1323</v>
      </c>
      <c r="G264" s="13" t="s">
        <v>1324</v>
      </c>
      <c r="H264" s="13" t="s">
        <v>1284</v>
      </c>
      <c r="I264" s="13" t="s">
        <v>1171</v>
      </c>
      <c r="J264" s="13" t="s">
        <v>1135</v>
      </c>
      <c r="K264" s="13" t="s">
        <v>1172</v>
      </c>
    </row>
    <row r="265" customFormat="false" ht="15" hidden="false" customHeight="false" outlineLevel="0" collapsed="false">
      <c r="A265" s="13" t="s">
        <v>96</v>
      </c>
      <c r="B265" s="13" t="s">
        <v>86</v>
      </c>
      <c r="C265" s="13" t="s">
        <v>97</v>
      </c>
      <c r="D265" s="13" t="s">
        <v>1322</v>
      </c>
      <c r="E265" s="13" t="s">
        <v>1131</v>
      </c>
      <c r="F265" s="13" t="s">
        <v>1323</v>
      </c>
      <c r="G265" s="13" t="s">
        <v>1324</v>
      </c>
      <c r="H265" s="13" t="s">
        <v>1284</v>
      </c>
      <c r="I265" s="13" t="s">
        <v>1175</v>
      </c>
      <c r="J265" s="13" t="s">
        <v>1135</v>
      </c>
      <c r="K265" s="13" t="s">
        <v>1176</v>
      </c>
    </row>
    <row r="266" customFormat="false" ht="22.35" hidden="false" customHeight="false" outlineLevel="0" collapsed="false">
      <c r="A266" s="13" t="s">
        <v>96</v>
      </c>
      <c r="B266" s="13" t="s">
        <v>86</v>
      </c>
      <c r="C266" s="13" t="s">
        <v>97</v>
      </c>
      <c r="D266" s="13" t="s">
        <v>1322</v>
      </c>
      <c r="E266" s="13" t="s">
        <v>1131</v>
      </c>
      <c r="F266" s="13" t="s">
        <v>1323</v>
      </c>
      <c r="G266" s="13" t="s">
        <v>1324</v>
      </c>
      <c r="H266" s="13" t="s">
        <v>1284</v>
      </c>
      <c r="I266" s="13" t="s">
        <v>1285</v>
      </c>
      <c r="J266" s="13" t="s">
        <v>1165</v>
      </c>
      <c r="K266" s="13" t="s">
        <v>1286</v>
      </c>
    </row>
    <row r="267" customFormat="false" ht="15" hidden="false" customHeight="false" outlineLevel="0" collapsed="false">
      <c r="A267" s="13" t="s">
        <v>96</v>
      </c>
      <c r="B267" s="13" t="s">
        <v>86</v>
      </c>
      <c r="C267" s="13" t="s">
        <v>97</v>
      </c>
      <c r="D267" s="13" t="s">
        <v>1322</v>
      </c>
      <c r="E267" s="13" t="s">
        <v>1131</v>
      </c>
      <c r="F267" s="13" t="s">
        <v>1323</v>
      </c>
      <c r="G267" s="13" t="s">
        <v>1324</v>
      </c>
      <c r="H267" s="13" t="s">
        <v>1284</v>
      </c>
      <c r="I267" s="13" t="s">
        <v>1179</v>
      </c>
      <c r="J267" s="13" t="s">
        <v>1165</v>
      </c>
      <c r="K267" s="13" t="s">
        <v>1180</v>
      </c>
    </row>
    <row r="268" customFormat="false" ht="15" hidden="false" customHeight="false" outlineLevel="0" collapsed="false">
      <c r="A268" s="13" t="s">
        <v>99</v>
      </c>
      <c r="B268" s="13" t="s">
        <v>86</v>
      </c>
      <c r="C268" s="13" t="s">
        <v>100</v>
      </c>
      <c r="D268" s="13" t="s">
        <v>1325</v>
      </c>
      <c r="E268" s="13" t="s">
        <v>1131</v>
      </c>
      <c r="F268" s="13" t="s">
        <v>1326</v>
      </c>
      <c r="G268" s="13" t="s">
        <v>1327</v>
      </c>
      <c r="H268" s="13" t="s">
        <v>1284</v>
      </c>
      <c r="I268" s="13" t="s">
        <v>1171</v>
      </c>
      <c r="J268" s="13" t="s">
        <v>1135</v>
      </c>
      <c r="K268" s="13" t="s">
        <v>1172</v>
      </c>
    </row>
    <row r="269" customFormat="false" ht="15" hidden="false" customHeight="false" outlineLevel="0" collapsed="false">
      <c r="A269" s="13" t="s">
        <v>99</v>
      </c>
      <c r="B269" s="13" t="s">
        <v>86</v>
      </c>
      <c r="C269" s="13" t="s">
        <v>100</v>
      </c>
      <c r="D269" s="13" t="s">
        <v>1325</v>
      </c>
      <c r="E269" s="13" t="s">
        <v>1131</v>
      </c>
      <c r="F269" s="13" t="s">
        <v>1326</v>
      </c>
      <c r="G269" s="13" t="s">
        <v>1327</v>
      </c>
      <c r="H269" s="13" t="s">
        <v>1284</v>
      </c>
      <c r="I269" s="13" t="s">
        <v>1175</v>
      </c>
      <c r="J269" s="13" t="s">
        <v>1135</v>
      </c>
      <c r="K269" s="13" t="s">
        <v>1176</v>
      </c>
    </row>
    <row r="270" customFormat="false" ht="22.35" hidden="false" customHeight="false" outlineLevel="0" collapsed="false">
      <c r="A270" s="13" t="s">
        <v>99</v>
      </c>
      <c r="B270" s="13" t="s">
        <v>86</v>
      </c>
      <c r="C270" s="13" t="s">
        <v>100</v>
      </c>
      <c r="D270" s="13" t="s">
        <v>1325</v>
      </c>
      <c r="E270" s="13" t="s">
        <v>1131</v>
      </c>
      <c r="F270" s="13" t="s">
        <v>1326</v>
      </c>
      <c r="G270" s="13" t="s">
        <v>1327</v>
      </c>
      <c r="H270" s="13" t="s">
        <v>1284</v>
      </c>
      <c r="I270" s="13" t="s">
        <v>1285</v>
      </c>
      <c r="J270" s="13" t="s">
        <v>1165</v>
      </c>
      <c r="K270" s="13" t="s">
        <v>1286</v>
      </c>
    </row>
    <row r="271" customFormat="false" ht="15" hidden="false" customHeight="false" outlineLevel="0" collapsed="false">
      <c r="A271" s="13" t="s">
        <v>99</v>
      </c>
      <c r="B271" s="13" t="s">
        <v>86</v>
      </c>
      <c r="C271" s="13" t="s">
        <v>100</v>
      </c>
      <c r="D271" s="13" t="s">
        <v>1325</v>
      </c>
      <c r="E271" s="13" t="s">
        <v>1131</v>
      </c>
      <c r="F271" s="13" t="s">
        <v>1326</v>
      </c>
      <c r="G271" s="13" t="s">
        <v>1327</v>
      </c>
      <c r="H271" s="13" t="s">
        <v>1284</v>
      </c>
      <c r="I271" s="13" t="s">
        <v>1179</v>
      </c>
      <c r="J271" s="13" t="s">
        <v>1165</v>
      </c>
      <c r="K271" s="13" t="s">
        <v>1180</v>
      </c>
    </row>
    <row r="272" customFormat="false" ht="15" hidden="false" customHeight="false" outlineLevel="0" collapsed="false">
      <c r="A272" s="13" t="s">
        <v>99</v>
      </c>
      <c r="B272" s="13" t="s">
        <v>86</v>
      </c>
      <c r="C272" s="13" t="s">
        <v>100</v>
      </c>
      <c r="D272" s="13" t="s">
        <v>1325</v>
      </c>
      <c r="E272" s="13" t="s">
        <v>1131</v>
      </c>
      <c r="F272" s="13" t="s">
        <v>1326</v>
      </c>
      <c r="G272" s="13" t="s">
        <v>1327</v>
      </c>
      <c r="H272" s="13" t="s">
        <v>1284</v>
      </c>
      <c r="I272" s="13" t="s">
        <v>1187</v>
      </c>
      <c r="J272" s="13" t="s">
        <v>1135</v>
      </c>
      <c r="K272" s="13" t="s">
        <v>1188</v>
      </c>
    </row>
    <row r="273" customFormat="false" ht="15" hidden="false" customHeight="false" outlineLevel="0" collapsed="false">
      <c r="A273" s="13" t="s">
        <v>99</v>
      </c>
      <c r="B273" s="13" t="s">
        <v>86</v>
      </c>
      <c r="C273" s="13" t="s">
        <v>100</v>
      </c>
      <c r="D273" s="13" t="s">
        <v>1328</v>
      </c>
      <c r="E273" s="13" t="s">
        <v>1131</v>
      </c>
      <c r="F273" s="13" t="s">
        <v>1326</v>
      </c>
      <c r="G273" s="13" t="s">
        <v>1329</v>
      </c>
      <c r="H273" s="13" t="s">
        <v>1284</v>
      </c>
      <c r="I273" s="13" t="s">
        <v>1139</v>
      </c>
      <c r="J273" s="13" t="s">
        <v>1135</v>
      </c>
      <c r="K273" s="13" t="s">
        <v>1140</v>
      </c>
    </row>
    <row r="274" customFormat="false" ht="15" hidden="false" customHeight="false" outlineLevel="0" collapsed="false">
      <c r="A274" s="13" t="s">
        <v>99</v>
      </c>
      <c r="B274" s="13" t="s">
        <v>86</v>
      </c>
      <c r="C274" s="13" t="s">
        <v>100</v>
      </c>
      <c r="D274" s="13" t="s">
        <v>1328</v>
      </c>
      <c r="E274" s="13" t="s">
        <v>1131</v>
      </c>
      <c r="F274" s="13" t="s">
        <v>1326</v>
      </c>
      <c r="G274" s="13" t="s">
        <v>1329</v>
      </c>
      <c r="H274" s="13" t="s">
        <v>1284</v>
      </c>
      <c r="I274" s="13" t="s">
        <v>1257</v>
      </c>
      <c r="J274" s="13" t="s">
        <v>1135</v>
      </c>
      <c r="K274" s="13" t="s">
        <v>1258</v>
      </c>
    </row>
    <row r="275" customFormat="false" ht="22.35" hidden="false" customHeight="false" outlineLevel="0" collapsed="false">
      <c r="A275" s="13" t="s">
        <v>99</v>
      </c>
      <c r="B275" s="13" t="s">
        <v>86</v>
      </c>
      <c r="C275" s="13" t="s">
        <v>100</v>
      </c>
      <c r="D275" s="13" t="s">
        <v>1330</v>
      </c>
      <c r="E275" s="13" t="s">
        <v>1192</v>
      </c>
      <c r="F275" s="13" t="s">
        <v>1331</v>
      </c>
      <c r="G275" s="13" t="s">
        <v>1332</v>
      </c>
      <c r="H275" s="13" t="s">
        <v>1284</v>
      </c>
      <c r="I275" s="13" t="s">
        <v>1150</v>
      </c>
      <c r="J275" s="13" t="s">
        <v>1135</v>
      </c>
      <c r="K275" s="13" t="s">
        <v>1151</v>
      </c>
    </row>
    <row r="276" customFormat="false" ht="22.35" hidden="false" customHeight="false" outlineLevel="0" collapsed="false">
      <c r="A276" s="13" t="s">
        <v>99</v>
      </c>
      <c r="B276" s="13" t="s">
        <v>86</v>
      </c>
      <c r="C276" s="13" t="s">
        <v>100</v>
      </c>
      <c r="D276" s="13" t="s">
        <v>1330</v>
      </c>
      <c r="E276" s="13" t="s">
        <v>1192</v>
      </c>
      <c r="F276" s="13" t="s">
        <v>1331</v>
      </c>
      <c r="G276" s="13" t="s">
        <v>1332</v>
      </c>
      <c r="H276" s="13" t="s">
        <v>1284</v>
      </c>
      <c r="I276" s="13" t="s">
        <v>1285</v>
      </c>
      <c r="J276" s="13" t="s">
        <v>1165</v>
      </c>
      <c r="K276" s="13" t="s">
        <v>1286</v>
      </c>
    </row>
    <row r="277" customFormat="false" ht="15" hidden="false" customHeight="false" outlineLevel="0" collapsed="false">
      <c r="A277" s="13" t="s">
        <v>99</v>
      </c>
      <c r="B277" s="13" t="s">
        <v>86</v>
      </c>
      <c r="C277" s="13" t="s">
        <v>100</v>
      </c>
      <c r="D277" s="13" t="s">
        <v>1333</v>
      </c>
      <c r="E277" s="13" t="s">
        <v>1192</v>
      </c>
      <c r="F277" s="13" t="s">
        <v>1334</v>
      </c>
      <c r="G277" s="13" t="s">
        <v>1335</v>
      </c>
      <c r="H277" s="13" t="s">
        <v>1284</v>
      </c>
      <c r="I277" s="13" t="s">
        <v>1150</v>
      </c>
      <c r="J277" s="13" t="s">
        <v>1135</v>
      </c>
      <c r="K277" s="13" t="s">
        <v>1151</v>
      </c>
    </row>
    <row r="278" customFormat="false" ht="22.35" hidden="false" customHeight="false" outlineLevel="0" collapsed="false">
      <c r="A278" s="13" t="s">
        <v>99</v>
      </c>
      <c r="B278" s="13" t="s">
        <v>86</v>
      </c>
      <c r="C278" s="13" t="s">
        <v>100</v>
      </c>
      <c r="D278" s="13" t="s">
        <v>1333</v>
      </c>
      <c r="E278" s="13" t="s">
        <v>1192</v>
      </c>
      <c r="F278" s="13" t="s">
        <v>1334</v>
      </c>
      <c r="G278" s="13" t="s">
        <v>1335</v>
      </c>
      <c r="H278" s="13" t="s">
        <v>1284</v>
      </c>
      <c r="I278" s="13" t="s">
        <v>1285</v>
      </c>
      <c r="J278" s="13" t="s">
        <v>1165</v>
      </c>
      <c r="K278" s="13" t="s">
        <v>1286</v>
      </c>
    </row>
    <row r="279" customFormat="false" ht="15" hidden="false" customHeight="false" outlineLevel="0" collapsed="false">
      <c r="A279" s="13" t="s">
        <v>99</v>
      </c>
      <c r="B279" s="13" t="s">
        <v>86</v>
      </c>
      <c r="C279" s="13" t="s">
        <v>100</v>
      </c>
      <c r="D279" s="13" t="s">
        <v>1333</v>
      </c>
      <c r="E279" s="13" t="s">
        <v>1192</v>
      </c>
      <c r="F279" s="13" t="s">
        <v>1334</v>
      </c>
      <c r="G279" s="13" t="s">
        <v>1335</v>
      </c>
      <c r="H279" s="13" t="s">
        <v>1284</v>
      </c>
      <c r="I279" s="13" t="s">
        <v>1187</v>
      </c>
      <c r="J279" s="13" t="s">
        <v>1135</v>
      </c>
      <c r="K279" s="13" t="s">
        <v>1188</v>
      </c>
    </row>
    <row r="280" customFormat="false" ht="15" hidden="false" customHeight="false" outlineLevel="0" collapsed="false">
      <c r="A280" s="13" t="s">
        <v>99</v>
      </c>
      <c r="B280" s="13" t="s">
        <v>86</v>
      </c>
      <c r="C280" s="13" t="s">
        <v>100</v>
      </c>
      <c r="D280" s="13" t="s">
        <v>1336</v>
      </c>
      <c r="E280" s="13" t="s">
        <v>1192</v>
      </c>
      <c r="F280" s="13" t="s">
        <v>1337</v>
      </c>
      <c r="G280" s="13" t="s">
        <v>1338</v>
      </c>
      <c r="H280" s="13" t="s">
        <v>972</v>
      </c>
      <c r="I280" s="13" t="s">
        <v>1150</v>
      </c>
      <c r="J280" s="13" t="s">
        <v>1135</v>
      </c>
      <c r="K280" s="13" t="s">
        <v>1151</v>
      </c>
    </row>
    <row r="281" customFormat="false" ht="22.35" hidden="false" customHeight="false" outlineLevel="0" collapsed="false">
      <c r="A281" s="13" t="s">
        <v>99</v>
      </c>
      <c r="B281" s="13" t="s">
        <v>86</v>
      </c>
      <c r="C281" s="13" t="s">
        <v>100</v>
      </c>
      <c r="D281" s="13" t="s">
        <v>1336</v>
      </c>
      <c r="E281" s="13" t="s">
        <v>1192</v>
      </c>
      <c r="F281" s="13" t="s">
        <v>1337</v>
      </c>
      <c r="G281" s="13" t="s">
        <v>1338</v>
      </c>
      <c r="H281" s="13" t="s">
        <v>972</v>
      </c>
      <c r="I281" s="13" t="s">
        <v>1285</v>
      </c>
      <c r="J281" s="13" t="s">
        <v>1165</v>
      </c>
      <c r="K281" s="13" t="s">
        <v>1286</v>
      </c>
    </row>
    <row r="282" customFormat="false" ht="22.35" hidden="false" customHeight="false" outlineLevel="0" collapsed="false">
      <c r="A282" s="13" t="s">
        <v>99</v>
      </c>
      <c r="B282" s="13" t="s">
        <v>86</v>
      </c>
      <c r="C282" s="13" t="s">
        <v>100</v>
      </c>
      <c r="D282" s="13" t="s">
        <v>1339</v>
      </c>
      <c r="E282" s="13" t="s">
        <v>1192</v>
      </c>
      <c r="F282" s="13" t="s">
        <v>1340</v>
      </c>
      <c r="G282" s="13" t="s">
        <v>1341</v>
      </c>
      <c r="H282" s="13" t="s">
        <v>972</v>
      </c>
      <c r="I282" s="13" t="s">
        <v>1171</v>
      </c>
      <c r="J282" s="13" t="s">
        <v>1135</v>
      </c>
      <c r="K282" s="13" t="s">
        <v>1172</v>
      </c>
    </row>
    <row r="283" customFormat="false" ht="22.35" hidden="false" customHeight="false" outlineLevel="0" collapsed="false">
      <c r="A283" s="13" t="s">
        <v>99</v>
      </c>
      <c r="B283" s="13" t="s">
        <v>86</v>
      </c>
      <c r="C283" s="13" t="s">
        <v>100</v>
      </c>
      <c r="D283" s="13" t="s">
        <v>1339</v>
      </c>
      <c r="E283" s="13" t="s">
        <v>1192</v>
      </c>
      <c r="F283" s="13" t="s">
        <v>1340</v>
      </c>
      <c r="G283" s="13" t="s">
        <v>1341</v>
      </c>
      <c r="H283" s="13" t="s">
        <v>972</v>
      </c>
      <c r="I283" s="13" t="s">
        <v>1150</v>
      </c>
      <c r="J283" s="13" t="s">
        <v>1135</v>
      </c>
      <c r="K283" s="13" t="s">
        <v>1151</v>
      </c>
    </row>
    <row r="284" customFormat="false" ht="15" hidden="false" customHeight="false" outlineLevel="0" collapsed="false">
      <c r="A284" s="13" t="s">
        <v>102</v>
      </c>
      <c r="B284" s="13" t="s">
        <v>86</v>
      </c>
      <c r="C284" s="13" t="s">
        <v>103</v>
      </c>
      <c r="D284" s="13" t="s">
        <v>1342</v>
      </c>
      <c r="E284" s="13" t="s">
        <v>1131</v>
      </c>
      <c r="F284" s="13" t="s">
        <v>1343</v>
      </c>
      <c r="G284" s="13" t="s">
        <v>1344</v>
      </c>
      <c r="H284" s="13" t="s">
        <v>1248</v>
      </c>
      <c r="I284" s="13" t="s">
        <v>1171</v>
      </c>
      <c r="J284" s="13" t="s">
        <v>1135</v>
      </c>
      <c r="K284" s="13" t="s">
        <v>1172</v>
      </c>
    </row>
    <row r="285" customFormat="false" ht="15" hidden="false" customHeight="false" outlineLevel="0" collapsed="false">
      <c r="A285" s="13" t="s">
        <v>102</v>
      </c>
      <c r="B285" s="13" t="s">
        <v>86</v>
      </c>
      <c r="C285" s="13" t="s">
        <v>103</v>
      </c>
      <c r="D285" s="13" t="s">
        <v>1342</v>
      </c>
      <c r="E285" s="13" t="s">
        <v>1131</v>
      </c>
      <c r="F285" s="13" t="s">
        <v>1343</v>
      </c>
      <c r="G285" s="13" t="s">
        <v>1344</v>
      </c>
      <c r="H285" s="13" t="s">
        <v>1248</v>
      </c>
      <c r="I285" s="13" t="s">
        <v>1175</v>
      </c>
      <c r="J285" s="13" t="s">
        <v>1135</v>
      </c>
      <c r="K285" s="13" t="s">
        <v>1176</v>
      </c>
    </row>
    <row r="286" customFormat="false" ht="22.35" hidden="false" customHeight="false" outlineLevel="0" collapsed="false">
      <c r="A286" s="13" t="s">
        <v>102</v>
      </c>
      <c r="B286" s="13" t="s">
        <v>86</v>
      </c>
      <c r="C286" s="13" t="s">
        <v>103</v>
      </c>
      <c r="D286" s="13" t="s">
        <v>1342</v>
      </c>
      <c r="E286" s="13" t="s">
        <v>1131</v>
      </c>
      <c r="F286" s="13" t="s">
        <v>1343</v>
      </c>
      <c r="G286" s="13" t="s">
        <v>1344</v>
      </c>
      <c r="H286" s="13" t="s">
        <v>1248</v>
      </c>
      <c r="I286" s="13" t="s">
        <v>1285</v>
      </c>
      <c r="J286" s="13" t="s">
        <v>1165</v>
      </c>
      <c r="K286" s="13" t="s">
        <v>1286</v>
      </c>
    </row>
    <row r="287" customFormat="false" ht="15" hidden="false" customHeight="false" outlineLevel="0" collapsed="false">
      <c r="A287" s="13" t="s">
        <v>102</v>
      </c>
      <c r="B287" s="13" t="s">
        <v>86</v>
      </c>
      <c r="C287" s="13" t="s">
        <v>103</v>
      </c>
      <c r="D287" s="13" t="s">
        <v>1342</v>
      </c>
      <c r="E287" s="13" t="s">
        <v>1131</v>
      </c>
      <c r="F287" s="13" t="s">
        <v>1343</v>
      </c>
      <c r="G287" s="13" t="s">
        <v>1344</v>
      </c>
      <c r="H287" s="13" t="s">
        <v>1248</v>
      </c>
      <c r="I287" s="13" t="s">
        <v>1179</v>
      </c>
      <c r="J287" s="13" t="s">
        <v>1165</v>
      </c>
      <c r="K287" s="13" t="s">
        <v>1180</v>
      </c>
    </row>
    <row r="288" customFormat="false" ht="15" hidden="false" customHeight="false" outlineLevel="0" collapsed="false">
      <c r="A288" s="13" t="s">
        <v>102</v>
      </c>
      <c r="B288" s="13" t="s">
        <v>86</v>
      </c>
      <c r="C288" s="13" t="s">
        <v>103</v>
      </c>
      <c r="D288" s="13" t="s">
        <v>1345</v>
      </c>
      <c r="E288" s="13" t="s">
        <v>1131</v>
      </c>
      <c r="F288" s="13" t="s">
        <v>1346</v>
      </c>
      <c r="G288" s="13" t="s">
        <v>1347</v>
      </c>
      <c r="H288" s="13" t="s">
        <v>1348</v>
      </c>
      <c r="I288" s="13" t="s">
        <v>1171</v>
      </c>
      <c r="J288" s="13" t="s">
        <v>1135</v>
      </c>
      <c r="K288" s="13" t="s">
        <v>1172</v>
      </c>
    </row>
    <row r="289" customFormat="false" ht="15" hidden="false" customHeight="false" outlineLevel="0" collapsed="false">
      <c r="A289" s="13" t="s">
        <v>102</v>
      </c>
      <c r="B289" s="13" t="s">
        <v>86</v>
      </c>
      <c r="C289" s="13" t="s">
        <v>103</v>
      </c>
      <c r="D289" s="13" t="s">
        <v>1345</v>
      </c>
      <c r="E289" s="13" t="s">
        <v>1131</v>
      </c>
      <c r="F289" s="13" t="s">
        <v>1346</v>
      </c>
      <c r="G289" s="13" t="s">
        <v>1347</v>
      </c>
      <c r="H289" s="13" t="s">
        <v>1348</v>
      </c>
      <c r="I289" s="13" t="s">
        <v>1175</v>
      </c>
      <c r="J289" s="13" t="s">
        <v>1135</v>
      </c>
      <c r="K289" s="13" t="s">
        <v>1176</v>
      </c>
    </row>
    <row r="290" customFormat="false" ht="22.35" hidden="false" customHeight="false" outlineLevel="0" collapsed="false">
      <c r="A290" s="13" t="s">
        <v>102</v>
      </c>
      <c r="B290" s="13" t="s">
        <v>86</v>
      </c>
      <c r="C290" s="13" t="s">
        <v>103</v>
      </c>
      <c r="D290" s="13" t="s">
        <v>1345</v>
      </c>
      <c r="E290" s="13" t="s">
        <v>1131</v>
      </c>
      <c r="F290" s="13" t="s">
        <v>1346</v>
      </c>
      <c r="G290" s="13" t="s">
        <v>1347</v>
      </c>
      <c r="H290" s="13" t="s">
        <v>1348</v>
      </c>
      <c r="I290" s="13" t="s">
        <v>1285</v>
      </c>
      <c r="J290" s="13" t="s">
        <v>1165</v>
      </c>
      <c r="K290" s="13" t="s">
        <v>1286</v>
      </c>
    </row>
    <row r="291" customFormat="false" ht="15" hidden="false" customHeight="false" outlineLevel="0" collapsed="false">
      <c r="A291" s="13" t="s">
        <v>102</v>
      </c>
      <c r="B291" s="13" t="s">
        <v>86</v>
      </c>
      <c r="C291" s="13" t="s">
        <v>103</v>
      </c>
      <c r="D291" s="13" t="s">
        <v>1345</v>
      </c>
      <c r="E291" s="13" t="s">
        <v>1131</v>
      </c>
      <c r="F291" s="13" t="s">
        <v>1346</v>
      </c>
      <c r="G291" s="13" t="s">
        <v>1347</v>
      </c>
      <c r="H291" s="13" t="s">
        <v>1348</v>
      </c>
      <c r="I291" s="13" t="s">
        <v>1179</v>
      </c>
      <c r="J291" s="13" t="s">
        <v>1165</v>
      </c>
      <c r="K291" s="13" t="s">
        <v>1180</v>
      </c>
    </row>
    <row r="292" customFormat="false" ht="15" hidden="false" customHeight="false" outlineLevel="0" collapsed="false">
      <c r="A292" s="13" t="s">
        <v>102</v>
      </c>
      <c r="B292" s="13" t="s">
        <v>86</v>
      </c>
      <c r="C292" s="13" t="s">
        <v>103</v>
      </c>
      <c r="D292" s="13" t="s">
        <v>1345</v>
      </c>
      <c r="E292" s="13" t="s">
        <v>1131</v>
      </c>
      <c r="F292" s="13" t="s">
        <v>1346</v>
      </c>
      <c r="G292" s="13" t="s">
        <v>1347</v>
      </c>
      <c r="H292" s="13" t="s">
        <v>1348</v>
      </c>
      <c r="I292" s="13" t="s">
        <v>1187</v>
      </c>
      <c r="J292" s="13" t="s">
        <v>1135</v>
      </c>
      <c r="K292" s="13" t="s">
        <v>1188</v>
      </c>
    </row>
    <row r="293" customFormat="false" ht="15" hidden="false" customHeight="false" outlineLevel="0" collapsed="false">
      <c r="A293" s="13" t="s">
        <v>102</v>
      </c>
      <c r="B293" s="13" t="s">
        <v>86</v>
      </c>
      <c r="C293" s="13" t="s">
        <v>103</v>
      </c>
      <c r="D293" s="13" t="s">
        <v>1349</v>
      </c>
      <c r="E293" s="13" t="s">
        <v>1131</v>
      </c>
      <c r="F293" s="13" t="s">
        <v>1346</v>
      </c>
      <c r="G293" s="13" t="s">
        <v>1350</v>
      </c>
      <c r="H293" s="13" t="s">
        <v>952</v>
      </c>
      <c r="I293" s="13" t="s">
        <v>1171</v>
      </c>
      <c r="J293" s="13" t="s">
        <v>1135</v>
      </c>
      <c r="K293" s="13" t="s">
        <v>1172</v>
      </c>
    </row>
    <row r="294" customFormat="false" ht="15" hidden="false" customHeight="false" outlineLevel="0" collapsed="false">
      <c r="A294" s="13" t="s">
        <v>102</v>
      </c>
      <c r="B294" s="13" t="s">
        <v>86</v>
      </c>
      <c r="C294" s="13" t="s">
        <v>103</v>
      </c>
      <c r="D294" s="13" t="s">
        <v>1349</v>
      </c>
      <c r="E294" s="13" t="s">
        <v>1131</v>
      </c>
      <c r="F294" s="13" t="s">
        <v>1346</v>
      </c>
      <c r="G294" s="13" t="s">
        <v>1350</v>
      </c>
      <c r="H294" s="13" t="s">
        <v>952</v>
      </c>
      <c r="I294" s="13" t="s">
        <v>1175</v>
      </c>
      <c r="J294" s="13" t="s">
        <v>1135</v>
      </c>
      <c r="K294" s="13" t="s">
        <v>1176</v>
      </c>
    </row>
    <row r="295" customFormat="false" ht="22.35" hidden="false" customHeight="false" outlineLevel="0" collapsed="false">
      <c r="A295" s="13" t="s">
        <v>102</v>
      </c>
      <c r="B295" s="13" t="s">
        <v>86</v>
      </c>
      <c r="C295" s="13" t="s">
        <v>103</v>
      </c>
      <c r="D295" s="13" t="s">
        <v>1349</v>
      </c>
      <c r="E295" s="13" t="s">
        <v>1131</v>
      </c>
      <c r="F295" s="13" t="s">
        <v>1346</v>
      </c>
      <c r="G295" s="13" t="s">
        <v>1350</v>
      </c>
      <c r="H295" s="13" t="s">
        <v>952</v>
      </c>
      <c r="I295" s="13" t="s">
        <v>1285</v>
      </c>
      <c r="J295" s="13" t="s">
        <v>1165</v>
      </c>
      <c r="K295" s="13" t="s">
        <v>1286</v>
      </c>
    </row>
    <row r="296" customFormat="false" ht="15" hidden="false" customHeight="false" outlineLevel="0" collapsed="false">
      <c r="A296" s="13" t="s">
        <v>102</v>
      </c>
      <c r="B296" s="13" t="s">
        <v>86</v>
      </c>
      <c r="C296" s="13" t="s">
        <v>103</v>
      </c>
      <c r="D296" s="13" t="s">
        <v>1349</v>
      </c>
      <c r="E296" s="13" t="s">
        <v>1131</v>
      </c>
      <c r="F296" s="13" t="s">
        <v>1346</v>
      </c>
      <c r="G296" s="13" t="s">
        <v>1350</v>
      </c>
      <c r="H296" s="13" t="s">
        <v>952</v>
      </c>
      <c r="I296" s="13" t="s">
        <v>1179</v>
      </c>
      <c r="J296" s="13" t="s">
        <v>1165</v>
      </c>
      <c r="K296" s="13" t="s">
        <v>1180</v>
      </c>
    </row>
    <row r="297" customFormat="false" ht="15" hidden="false" customHeight="false" outlineLevel="0" collapsed="false">
      <c r="A297" s="13" t="s">
        <v>102</v>
      </c>
      <c r="B297" s="13" t="s">
        <v>86</v>
      </c>
      <c r="C297" s="13" t="s">
        <v>103</v>
      </c>
      <c r="D297" s="13" t="s">
        <v>1351</v>
      </c>
      <c r="E297" s="13" t="s">
        <v>1168</v>
      </c>
      <c r="F297" s="13" t="s">
        <v>1352</v>
      </c>
      <c r="G297" s="13" t="s">
        <v>1353</v>
      </c>
      <c r="H297" s="13" t="s">
        <v>1284</v>
      </c>
      <c r="I297" s="13" t="s">
        <v>1177</v>
      </c>
      <c r="J297" s="13" t="s">
        <v>1165</v>
      </c>
      <c r="K297" s="13" t="s">
        <v>1178</v>
      </c>
    </row>
    <row r="298" customFormat="false" ht="15" hidden="false" customHeight="false" outlineLevel="0" collapsed="false">
      <c r="A298" s="13" t="s">
        <v>102</v>
      </c>
      <c r="B298" s="13" t="s">
        <v>86</v>
      </c>
      <c r="C298" s="13" t="s">
        <v>103</v>
      </c>
      <c r="D298" s="13" t="s">
        <v>1351</v>
      </c>
      <c r="E298" s="13" t="s">
        <v>1168</v>
      </c>
      <c r="F298" s="13" t="s">
        <v>1352</v>
      </c>
      <c r="G298" s="13" t="s">
        <v>1353</v>
      </c>
      <c r="H298" s="13" t="s">
        <v>1284</v>
      </c>
      <c r="I298" s="13" t="s">
        <v>1175</v>
      </c>
      <c r="J298" s="13" t="s">
        <v>1135</v>
      </c>
      <c r="K298" s="13" t="s">
        <v>1176</v>
      </c>
    </row>
    <row r="299" customFormat="false" ht="15" hidden="false" customHeight="false" outlineLevel="0" collapsed="false">
      <c r="A299" s="13" t="s">
        <v>105</v>
      </c>
      <c r="B299" s="13" t="s">
        <v>86</v>
      </c>
      <c r="C299" s="13" t="s">
        <v>106</v>
      </c>
      <c r="D299" s="13" t="s">
        <v>1354</v>
      </c>
      <c r="E299" s="13" t="s">
        <v>1131</v>
      </c>
      <c r="F299" s="13" t="s">
        <v>1271</v>
      </c>
      <c r="G299" s="13" t="s">
        <v>1355</v>
      </c>
      <c r="H299" s="13" t="s">
        <v>972</v>
      </c>
      <c r="I299" s="13" t="s">
        <v>1225</v>
      </c>
      <c r="J299" s="13" t="s">
        <v>1135</v>
      </c>
      <c r="K299" s="13" t="s">
        <v>1226</v>
      </c>
    </row>
    <row r="300" customFormat="false" ht="15" hidden="false" customHeight="false" outlineLevel="0" collapsed="false">
      <c r="A300" s="13" t="s">
        <v>105</v>
      </c>
      <c r="B300" s="13" t="s">
        <v>86</v>
      </c>
      <c r="C300" s="13" t="s">
        <v>106</v>
      </c>
      <c r="D300" s="13" t="s">
        <v>1354</v>
      </c>
      <c r="E300" s="13" t="s">
        <v>1131</v>
      </c>
      <c r="F300" s="13" t="s">
        <v>1271</v>
      </c>
      <c r="G300" s="13" t="s">
        <v>1355</v>
      </c>
      <c r="H300" s="13" t="s">
        <v>972</v>
      </c>
      <c r="I300" s="13" t="s">
        <v>1273</v>
      </c>
      <c r="J300" s="13" t="s">
        <v>1274</v>
      </c>
      <c r="K300" s="13" t="s">
        <v>1275</v>
      </c>
    </row>
    <row r="301" customFormat="false" ht="22.35" hidden="false" customHeight="false" outlineLevel="0" collapsed="false">
      <c r="A301" s="13" t="s">
        <v>105</v>
      </c>
      <c r="B301" s="13" t="s">
        <v>86</v>
      </c>
      <c r="C301" s="13" t="s">
        <v>106</v>
      </c>
      <c r="D301" s="13" t="s">
        <v>1354</v>
      </c>
      <c r="E301" s="13" t="s">
        <v>1131</v>
      </c>
      <c r="F301" s="13" t="s">
        <v>1271</v>
      </c>
      <c r="G301" s="13" t="s">
        <v>1355</v>
      </c>
      <c r="H301" s="13" t="s">
        <v>972</v>
      </c>
      <c r="I301" s="13" t="s">
        <v>1227</v>
      </c>
      <c r="J301" s="13" t="s">
        <v>1165</v>
      </c>
      <c r="K301" s="13" t="s">
        <v>1228</v>
      </c>
    </row>
    <row r="302" customFormat="false" ht="15" hidden="false" customHeight="false" outlineLevel="0" collapsed="false">
      <c r="A302" s="13" t="s">
        <v>105</v>
      </c>
      <c r="B302" s="13" t="s">
        <v>86</v>
      </c>
      <c r="C302" s="13" t="s">
        <v>106</v>
      </c>
      <c r="D302" s="13" t="s">
        <v>1130</v>
      </c>
      <c r="E302" s="13" t="s">
        <v>1131</v>
      </c>
      <c r="F302" s="13" t="s">
        <v>1132</v>
      </c>
      <c r="G302" s="13" t="s">
        <v>1133</v>
      </c>
      <c r="H302" s="13" t="s">
        <v>972</v>
      </c>
      <c r="I302" s="13" t="s">
        <v>1134</v>
      </c>
      <c r="J302" s="13" t="s">
        <v>1135</v>
      </c>
      <c r="K302" s="13" t="s">
        <v>1136</v>
      </c>
    </row>
    <row r="303" customFormat="false" ht="15" hidden="false" customHeight="false" outlineLevel="0" collapsed="false">
      <c r="A303" s="13" t="s">
        <v>105</v>
      </c>
      <c r="B303" s="13" t="s">
        <v>86</v>
      </c>
      <c r="C303" s="13" t="s">
        <v>106</v>
      </c>
      <c r="D303" s="13" t="s">
        <v>1130</v>
      </c>
      <c r="E303" s="13" t="s">
        <v>1131</v>
      </c>
      <c r="F303" s="13" t="s">
        <v>1132</v>
      </c>
      <c r="G303" s="13" t="s">
        <v>1133</v>
      </c>
      <c r="H303" s="13" t="s">
        <v>972</v>
      </c>
      <c r="I303" s="13" t="s">
        <v>1137</v>
      </c>
      <c r="J303" s="13" t="s">
        <v>1135</v>
      </c>
      <c r="K303" s="13" t="s">
        <v>1138</v>
      </c>
    </row>
    <row r="304" customFormat="false" ht="15" hidden="false" customHeight="false" outlineLevel="0" collapsed="false">
      <c r="A304" s="13" t="s">
        <v>105</v>
      </c>
      <c r="B304" s="13" t="s">
        <v>86</v>
      </c>
      <c r="C304" s="13" t="s">
        <v>106</v>
      </c>
      <c r="D304" s="13" t="s">
        <v>1130</v>
      </c>
      <c r="E304" s="13" t="s">
        <v>1131</v>
      </c>
      <c r="F304" s="13" t="s">
        <v>1132</v>
      </c>
      <c r="G304" s="13" t="s">
        <v>1133</v>
      </c>
      <c r="H304" s="13" t="s">
        <v>972</v>
      </c>
      <c r="I304" s="13" t="s">
        <v>1139</v>
      </c>
      <c r="J304" s="13" t="s">
        <v>1135</v>
      </c>
      <c r="K304" s="13" t="s">
        <v>1140</v>
      </c>
    </row>
    <row r="305" customFormat="false" ht="15" hidden="false" customHeight="false" outlineLevel="0" collapsed="false">
      <c r="A305" s="13" t="s">
        <v>105</v>
      </c>
      <c r="B305" s="13" t="s">
        <v>86</v>
      </c>
      <c r="C305" s="13" t="s">
        <v>106</v>
      </c>
      <c r="D305" s="13" t="s">
        <v>1141</v>
      </c>
      <c r="E305" s="13" t="s">
        <v>1131</v>
      </c>
      <c r="F305" s="13" t="s">
        <v>1132</v>
      </c>
      <c r="G305" s="13" t="s">
        <v>1142</v>
      </c>
      <c r="H305" s="13" t="s">
        <v>972</v>
      </c>
      <c r="I305" s="13" t="s">
        <v>1134</v>
      </c>
      <c r="J305" s="13" t="s">
        <v>1135</v>
      </c>
      <c r="K305" s="13" t="s">
        <v>1136</v>
      </c>
    </row>
    <row r="306" customFormat="false" ht="15" hidden="false" customHeight="false" outlineLevel="0" collapsed="false">
      <c r="A306" s="13" t="s">
        <v>105</v>
      </c>
      <c r="B306" s="13" t="s">
        <v>86</v>
      </c>
      <c r="C306" s="13" t="s">
        <v>106</v>
      </c>
      <c r="D306" s="13" t="s">
        <v>1141</v>
      </c>
      <c r="E306" s="13" t="s">
        <v>1131</v>
      </c>
      <c r="F306" s="13" t="s">
        <v>1132</v>
      </c>
      <c r="G306" s="13" t="s">
        <v>1142</v>
      </c>
      <c r="H306" s="13" t="s">
        <v>972</v>
      </c>
      <c r="I306" s="13" t="s">
        <v>1137</v>
      </c>
      <c r="J306" s="13" t="s">
        <v>1135</v>
      </c>
      <c r="K306" s="13" t="s">
        <v>1138</v>
      </c>
    </row>
    <row r="307" customFormat="false" ht="15" hidden="false" customHeight="false" outlineLevel="0" collapsed="false">
      <c r="A307" s="13" t="s">
        <v>105</v>
      </c>
      <c r="B307" s="13" t="s">
        <v>86</v>
      </c>
      <c r="C307" s="13" t="s">
        <v>106</v>
      </c>
      <c r="D307" s="13" t="s">
        <v>1141</v>
      </c>
      <c r="E307" s="13" t="s">
        <v>1131</v>
      </c>
      <c r="F307" s="13" t="s">
        <v>1132</v>
      </c>
      <c r="G307" s="13" t="s">
        <v>1142</v>
      </c>
      <c r="H307" s="13" t="s">
        <v>972</v>
      </c>
      <c r="I307" s="13" t="s">
        <v>1139</v>
      </c>
      <c r="J307" s="13" t="s">
        <v>1135</v>
      </c>
      <c r="K307" s="13" t="s">
        <v>1140</v>
      </c>
    </row>
    <row r="308" customFormat="false" ht="15" hidden="false" customHeight="false" outlineLevel="0" collapsed="false">
      <c r="A308" s="13" t="s">
        <v>105</v>
      </c>
      <c r="B308" s="13" t="s">
        <v>86</v>
      </c>
      <c r="C308" s="13" t="s">
        <v>106</v>
      </c>
      <c r="D308" s="13" t="s">
        <v>1356</v>
      </c>
      <c r="E308" s="13" t="s">
        <v>1131</v>
      </c>
      <c r="F308" s="13" t="s">
        <v>1132</v>
      </c>
      <c r="G308" s="13" t="s">
        <v>1357</v>
      </c>
      <c r="H308" s="13" t="s">
        <v>972</v>
      </c>
      <c r="I308" s="13" t="s">
        <v>1139</v>
      </c>
      <c r="J308" s="13" t="s">
        <v>1135</v>
      </c>
      <c r="K308" s="13" t="s">
        <v>1140</v>
      </c>
    </row>
    <row r="309" customFormat="false" ht="15" hidden="false" customHeight="false" outlineLevel="0" collapsed="false">
      <c r="A309" s="13" t="s">
        <v>105</v>
      </c>
      <c r="B309" s="13" t="s">
        <v>86</v>
      </c>
      <c r="C309" s="13" t="s">
        <v>106</v>
      </c>
      <c r="D309" s="13" t="s">
        <v>1356</v>
      </c>
      <c r="E309" s="13" t="s">
        <v>1131</v>
      </c>
      <c r="F309" s="13" t="s">
        <v>1132</v>
      </c>
      <c r="G309" s="13" t="s">
        <v>1357</v>
      </c>
      <c r="H309" s="13" t="s">
        <v>972</v>
      </c>
      <c r="I309" s="13" t="s">
        <v>1257</v>
      </c>
      <c r="J309" s="13" t="s">
        <v>1135</v>
      </c>
      <c r="K309" s="13" t="s">
        <v>1258</v>
      </c>
    </row>
    <row r="310" customFormat="false" ht="15" hidden="false" customHeight="false" outlineLevel="0" collapsed="false">
      <c r="A310" s="13" t="s">
        <v>105</v>
      </c>
      <c r="B310" s="13" t="s">
        <v>86</v>
      </c>
      <c r="C310" s="13" t="s">
        <v>106</v>
      </c>
      <c r="D310" s="13" t="s">
        <v>1358</v>
      </c>
      <c r="E310" s="13" t="s">
        <v>1131</v>
      </c>
      <c r="F310" s="13" t="s">
        <v>1132</v>
      </c>
      <c r="G310" s="13" t="s">
        <v>1359</v>
      </c>
      <c r="H310" s="13" t="s">
        <v>972</v>
      </c>
      <c r="I310" s="13" t="s">
        <v>1139</v>
      </c>
      <c r="J310" s="13" t="s">
        <v>1135</v>
      </c>
      <c r="K310" s="13" t="s">
        <v>1140</v>
      </c>
    </row>
    <row r="311" customFormat="false" ht="15" hidden="false" customHeight="false" outlineLevel="0" collapsed="false">
      <c r="A311" s="13" t="s">
        <v>105</v>
      </c>
      <c r="B311" s="13" t="s">
        <v>86</v>
      </c>
      <c r="C311" s="13" t="s">
        <v>106</v>
      </c>
      <c r="D311" s="13" t="s">
        <v>1358</v>
      </c>
      <c r="E311" s="13" t="s">
        <v>1131</v>
      </c>
      <c r="F311" s="13" t="s">
        <v>1132</v>
      </c>
      <c r="G311" s="13" t="s">
        <v>1359</v>
      </c>
      <c r="H311" s="13" t="s">
        <v>972</v>
      </c>
      <c r="I311" s="13" t="s">
        <v>1257</v>
      </c>
      <c r="J311" s="13" t="s">
        <v>1135</v>
      </c>
      <c r="K311" s="13" t="s">
        <v>1258</v>
      </c>
    </row>
    <row r="312" customFormat="false" ht="15" hidden="false" customHeight="false" outlineLevel="0" collapsed="false">
      <c r="A312" s="13" t="s">
        <v>105</v>
      </c>
      <c r="B312" s="13" t="s">
        <v>86</v>
      </c>
      <c r="C312" s="13" t="s">
        <v>106</v>
      </c>
      <c r="D312" s="13" t="s">
        <v>1360</v>
      </c>
      <c r="E312" s="13" t="s">
        <v>1131</v>
      </c>
      <c r="F312" s="13" t="s">
        <v>1132</v>
      </c>
      <c r="G312" s="13" t="s">
        <v>1361</v>
      </c>
      <c r="H312" s="13" t="s">
        <v>972</v>
      </c>
      <c r="I312" s="13" t="s">
        <v>1134</v>
      </c>
      <c r="J312" s="13" t="s">
        <v>1135</v>
      </c>
      <c r="K312" s="13" t="s">
        <v>1136</v>
      </c>
    </row>
    <row r="313" customFormat="false" ht="15" hidden="false" customHeight="false" outlineLevel="0" collapsed="false">
      <c r="A313" s="13" t="s">
        <v>105</v>
      </c>
      <c r="B313" s="13" t="s">
        <v>86</v>
      </c>
      <c r="C313" s="13" t="s">
        <v>106</v>
      </c>
      <c r="D313" s="13" t="s">
        <v>1360</v>
      </c>
      <c r="E313" s="13" t="s">
        <v>1131</v>
      </c>
      <c r="F313" s="13" t="s">
        <v>1132</v>
      </c>
      <c r="G313" s="13" t="s">
        <v>1361</v>
      </c>
      <c r="H313" s="13" t="s">
        <v>972</v>
      </c>
      <c r="I313" s="13" t="s">
        <v>1137</v>
      </c>
      <c r="J313" s="13" t="s">
        <v>1135</v>
      </c>
      <c r="K313" s="13" t="s">
        <v>1138</v>
      </c>
    </row>
    <row r="314" customFormat="false" ht="15" hidden="false" customHeight="false" outlineLevel="0" collapsed="false">
      <c r="A314" s="13" t="s">
        <v>105</v>
      </c>
      <c r="B314" s="13" t="s">
        <v>86</v>
      </c>
      <c r="C314" s="13" t="s">
        <v>106</v>
      </c>
      <c r="D314" s="13" t="s">
        <v>1360</v>
      </c>
      <c r="E314" s="13" t="s">
        <v>1131</v>
      </c>
      <c r="F314" s="13" t="s">
        <v>1132</v>
      </c>
      <c r="G314" s="13" t="s">
        <v>1361</v>
      </c>
      <c r="H314" s="13" t="s">
        <v>972</v>
      </c>
      <c r="I314" s="13" t="s">
        <v>1139</v>
      </c>
      <c r="J314" s="13" t="s">
        <v>1135</v>
      </c>
      <c r="K314" s="13" t="s">
        <v>1140</v>
      </c>
    </row>
    <row r="315" customFormat="false" ht="22.35" hidden="false" customHeight="false" outlineLevel="0" collapsed="false">
      <c r="A315" s="13" t="s">
        <v>105</v>
      </c>
      <c r="B315" s="13" t="s">
        <v>86</v>
      </c>
      <c r="C315" s="13" t="s">
        <v>106</v>
      </c>
      <c r="D315" s="13" t="s">
        <v>1146</v>
      </c>
      <c r="E315" s="13" t="s">
        <v>1131</v>
      </c>
      <c r="F315" s="13" t="s">
        <v>1144</v>
      </c>
      <c r="G315" s="13" t="s">
        <v>1147</v>
      </c>
      <c r="H315" s="13" t="s">
        <v>972</v>
      </c>
      <c r="I315" s="13" t="s">
        <v>1148</v>
      </c>
      <c r="J315" s="13" t="s">
        <v>1135</v>
      </c>
      <c r="K315" s="13" t="s">
        <v>1149</v>
      </c>
    </row>
    <row r="316" customFormat="false" ht="15" hidden="false" customHeight="false" outlineLevel="0" collapsed="false">
      <c r="A316" s="13" t="s">
        <v>105</v>
      </c>
      <c r="B316" s="13" t="s">
        <v>86</v>
      </c>
      <c r="C316" s="13" t="s">
        <v>106</v>
      </c>
      <c r="D316" s="13" t="s">
        <v>1146</v>
      </c>
      <c r="E316" s="13" t="s">
        <v>1131</v>
      </c>
      <c r="F316" s="13" t="s">
        <v>1144</v>
      </c>
      <c r="G316" s="13" t="s">
        <v>1147</v>
      </c>
      <c r="H316" s="13" t="s">
        <v>972</v>
      </c>
      <c r="I316" s="13" t="s">
        <v>1150</v>
      </c>
      <c r="J316" s="13" t="s">
        <v>1135</v>
      </c>
      <c r="K316" s="13" t="s">
        <v>1151</v>
      </c>
    </row>
    <row r="317" customFormat="false" ht="15" hidden="false" customHeight="false" outlineLevel="0" collapsed="false">
      <c r="A317" s="13" t="s">
        <v>108</v>
      </c>
      <c r="B317" s="13" t="s">
        <v>86</v>
      </c>
      <c r="C317" s="13" t="s">
        <v>109</v>
      </c>
      <c r="D317" s="13" t="s">
        <v>1362</v>
      </c>
      <c r="E317" s="13" t="s">
        <v>1131</v>
      </c>
      <c r="F317" s="13" t="s">
        <v>1363</v>
      </c>
      <c r="G317" s="13" t="s">
        <v>1364</v>
      </c>
      <c r="H317" s="13" t="s">
        <v>1156</v>
      </c>
      <c r="I317" s="13" t="s">
        <v>1225</v>
      </c>
      <c r="J317" s="13" t="s">
        <v>1135</v>
      </c>
      <c r="K317" s="13" t="s">
        <v>1226</v>
      </c>
    </row>
    <row r="318" customFormat="false" ht="22.35" hidden="false" customHeight="false" outlineLevel="0" collapsed="false">
      <c r="A318" s="13" t="s">
        <v>108</v>
      </c>
      <c r="B318" s="13" t="s">
        <v>86</v>
      </c>
      <c r="C318" s="13" t="s">
        <v>109</v>
      </c>
      <c r="D318" s="13" t="s">
        <v>1362</v>
      </c>
      <c r="E318" s="13" t="s">
        <v>1131</v>
      </c>
      <c r="F318" s="13" t="s">
        <v>1363</v>
      </c>
      <c r="G318" s="13" t="s">
        <v>1364</v>
      </c>
      <c r="H318" s="13" t="s">
        <v>1156</v>
      </c>
      <c r="I318" s="13" t="s">
        <v>1227</v>
      </c>
      <c r="J318" s="13" t="s">
        <v>1165</v>
      </c>
      <c r="K318" s="13" t="s">
        <v>1228</v>
      </c>
    </row>
    <row r="319" customFormat="false" ht="22.35" hidden="false" customHeight="false" outlineLevel="0" collapsed="false">
      <c r="A319" s="13" t="s">
        <v>108</v>
      </c>
      <c r="B319" s="13" t="s">
        <v>86</v>
      </c>
      <c r="C319" s="13" t="s">
        <v>109</v>
      </c>
      <c r="D319" s="13" t="s">
        <v>1362</v>
      </c>
      <c r="E319" s="13" t="s">
        <v>1131</v>
      </c>
      <c r="F319" s="13" t="s">
        <v>1363</v>
      </c>
      <c r="G319" s="13" t="s">
        <v>1364</v>
      </c>
      <c r="H319" s="13" t="s">
        <v>1156</v>
      </c>
      <c r="I319" s="13" t="s">
        <v>1164</v>
      </c>
      <c r="J319" s="13" t="s">
        <v>1165</v>
      </c>
      <c r="K319" s="13" t="s">
        <v>1166</v>
      </c>
    </row>
    <row r="320" customFormat="false" ht="15" hidden="false" customHeight="false" outlineLevel="0" collapsed="false">
      <c r="A320" s="13" t="s">
        <v>108</v>
      </c>
      <c r="B320" s="13" t="s">
        <v>86</v>
      </c>
      <c r="C320" s="13" t="s">
        <v>109</v>
      </c>
      <c r="D320" s="13" t="s">
        <v>1365</v>
      </c>
      <c r="E320" s="13" t="s">
        <v>1131</v>
      </c>
      <c r="F320" s="13" t="s">
        <v>1363</v>
      </c>
      <c r="G320" s="13" t="s">
        <v>1366</v>
      </c>
      <c r="H320" s="13" t="s">
        <v>1156</v>
      </c>
      <c r="I320" s="13" t="s">
        <v>1225</v>
      </c>
      <c r="J320" s="13" t="s">
        <v>1135</v>
      </c>
      <c r="K320" s="13" t="s">
        <v>1226</v>
      </c>
    </row>
    <row r="321" customFormat="false" ht="22.35" hidden="false" customHeight="false" outlineLevel="0" collapsed="false">
      <c r="A321" s="13" t="s">
        <v>108</v>
      </c>
      <c r="B321" s="13" t="s">
        <v>86</v>
      </c>
      <c r="C321" s="13" t="s">
        <v>109</v>
      </c>
      <c r="D321" s="13" t="s">
        <v>1365</v>
      </c>
      <c r="E321" s="13" t="s">
        <v>1131</v>
      </c>
      <c r="F321" s="13" t="s">
        <v>1363</v>
      </c>
      <c r="G321" s="13" t="s">
        <v>1366</v>
      </c>
      <c r="H321" s="13" t="s">
        <v>1156</v>
      </c>
      <c r="I321" s="13" t="s">
        <v>1227</v>
      </c>
      <c r="J321" s="13" t="s">
        <v>1165</v>
      </c>
      <c r="K321" s="13" t="s">
        <v>1228</v>
      </c>
    </row>
    <row r="322" customFormat="false" ht="22.35" hidden="false" customHeight="false" outlineLevel="0" collapsed="false">
      <c r="A322" s="13" t="s">
        <v>108</v>
      </c>
      <c r="B322" s="13" t="s">
        <v>86</v>
      </c>
      <c r="C322" s="13" t="s">
        <v>109</v>
      </c>
      <c r="D322" s="13" t="s">
        <v>1365</v>
      </c>
      <c r="E322" s="13" t="s">
        <v>1131</v>
      </c>
      <c r="F322" s="13" t="s">
        <v>1363</v>
      </c>
      <c r="G322" s="13" t="s">
        <v>1366</v>
      </c>
      <c r="H322" s="13" t="s">
        <v>1156</v>
      </c>
      <c r="I322" s="13" t="s">
        <v>1164</v>
      </c>
      <c r="J322" s="13" t="s">
        <v>1165</v>
      </c>
      <c r="K322" s="13" t="s">
        <v>1166</v>
      </c>
    </row>
    <row r="323" customFormat="false" ht="15" hidden="false" customHeight="false" outlineLevel="0" collapsed="false">
      <c r="A323" s="13" t="s">
        <v>108</v>
      </c>
      <c r="B323" s="13" t="s">
        <v>86</v>
      </c>
      <c r="C323" s="13" t="s">
        <v>109</v>
      </c>
      <c r="D323" s="13" t="s">
        <v>1367</v>
      </c>
      <c r="E323" s="13" t="s">
        <v>1131</v>
      </c>
      <c r="F323" s="13" t="s">
        <v>1222</v>
      </c>
      <c r="G323" s="13" t="s">
        <v>1368</v>
      </c>
      <c r="H323" s="13" t="s">
        <v>1224</v>
      </c>
      <c r="I323" s="13" t="s">
        <v>1225</v>
      </c>
      <c r="J323" s="13" t="s">
        <v>1135</v>
      </c>
      <c r="K323" s="13" t="s">
        <v>1226</v>
      </c>
    </row>
    <row r="324" customFormat="false" ht="22.35" hidden="false" customHeight="false" outlineLevel="0" collapsed="false">
      <c r="A324" s="13" t="s">
        <v>108</v>
      </c>
      <c r="B324" s="13" t="s">
        <v>86</v>
      </c>
      <c r="C324" s="13" t="s">
        <v>109</v>
      </c>
      <c r="D324" s="13" t="s">
        <v>1367</v>
      </c>
      <c r="E324" s="13" t="s">
        <v>1131</v>
      </c>
      <c r="F324" s="13" t="s">
        <v>1222</v>
      </c>
      <c r="G324" s="13" t="s">
        <v>1368</v>
      </c>
      <c r="H324" s="13" t="s">
        <v>1224</v>
      </c>
      <c r="I324" s="13" t="s">
        <v>1227</v>
      </c>
      <c r="J324" s="13" t="s">
        <v>1165</v>
      </c>
      <c r="K324" s="13" t="s">
        <v>1228</v>
      </c>
    </row>
    <row r="325" customFormat="false" ht="22.35" hidden="false" customHeight="false" outlineLevel="0" collapsed="false">
      <c r="A325" s="13" t="s">
        <v>108</v>
      </c>
      <c r="B325" s="13" t="s">
        <v>86</v>
      </c>
      <c r="C325" s="13" t="s">
        <v>109</v>
      </c>
      <c r="D325" s="13" t="s">
        <v>1367</v>
      </c>
      <c r="E325" s="13" t="s">
        <v>1131</v>
      </c>
      <c r="F325" s="13" t="s">
        <v>1222</v>
      </c>
      <c r="G325" s="13" t="s">
        <v>1368</v>
      </c>
      <c r="H325" s="13" t="s">
        <v>1224</v>
      </c>
      <c r="I325" s="13" t="s">
        <v>1164</v>
      </c>
      <c r="J325" s="13" t="s">
        <v>1165</v>
      </c>
      <c r="K325" s="13" t="s">
        <v>1166</v>
      </c>
    </row>
    <row r="326" customFormat="false" ht="15" hidden="false" customHeight="false" outlineLevel="0" collapsed="false">
      <c r="A326" s="13" t="s">
        <v>108</v>
      </c>
      <c r="B326" s="13" t="s">
        <v>86</v>
      </c>
      <c r="C326" s="13" t="s">
        <v>109</v>
      </c>
      <c r="D326" s="13" t="s">
        <v>1221</v>
      </c>
      <c r="E326" s="13" t="s">
        <v>1131</v>
      </c>
      <c r="F326" s="13" t="s">
        <v>1222</v>
      </c>
      <c r="G326" s="13" t="s">
        <v>1223</v>
      </c>
      <c r="H326" s="13" t="s">
        <v>1224</v>
      </c>
      <c r="I326" s="13" t="s">
        <v>1225</v>
      </c>
      <c r="J326" s="13" t="s">
        <v>1135</v>
      </c>
      <c r="K326" s="13" t="s">
        <v>1226</v>
      </c>
    </row>
    <row r="327" customFormat="false" ht="22.35" hidden="false" customHeight="false" outlineLevel="0" collapsed="false">
      <c r="A327" s="13" t="s">
        <v>108</v>
      </c>
      <c r="B327" s="13" t="s">
        <v>86</v>
      </c>
      <c r="C327" s="13" t="s">
        <v>109</v>
      </c>
      <c r="D327" s="13" t="s">
        <v>1221</v>
      </c>
      <c r="E327" s="13" t="s">
        <v>1131</v>
      </c>
      <c r="F327" s="13" t="s">
        <v>1222</v>
      </c>
      <c r="G327" s="13" t="s">
        <v>1223</v>
      </c>
      <c r="H327" s="13" t="s">
        <v>1224</v>
      </c>
      <c r="I327" s="13" t="s">
        <v>1227</v>
      </c>
      <c r="J327" s="13" t="s">
        <v>1165</v>
      </c>
      <c r="K327" s="13" t="s">
        <v>1228</v>
      </c>
    </row>
    <row r="328" customFormat="false" ht="22.35" hidden="false" customHeight="false" outlineLevel="0" collapsed="false">
      <c r="A328" s="13" t="s">
        <v>108</v>
      </c>
      <c r="B328" s="13" t="s">
        <v>86</v>
      </c>
      <c r="C328" s="13" t="s">
        <v>109</v>
      </c>
      <c r="D328" s="13" t="s">
        <v>1221</v>
      </c>
      <c r="E328" s="13" t="s">
        <v>1131</v>
      </c>
      <c r="F328" s="13" t="s">
        <v>1222</v>
      </c>
      <c r="G328" s="13" t="s">
        <v>1223</v>
      </c>
      <c r="H328" s="13" t="s">
        <v>1224</v>
      </c>
      <c r="I328" s="13" t="s">
        <v>1164</v>
      </c>
      <c r="J328" s="13" t="s">
        <v>1165</v>
      </c>
      <c r="K328" s="13" t="s">
        <v>1166</v>
      </c>
    </row>
    <row r="329" customFormat="false" ht="15" hidden="false" customHeight="false" outlineLevel="0" collapsed="false">
      <c r="A329" s="13" t="s">
        <v>108</v>
      </c>
      <c r="B329" s="13" t="s">
        <v>86</v>
      </c>
      <c r="C329" s="13" t="s">
        <v>109</v>
      </c>
      <c r="D329" s="13" t="s">
        <v>1369</v>
      </c>
      <c r="E329" s="13" t="s">
        <v>1131</v>
      </c>
      <c r="F329" s="13" t="s">
        <v>1370</v>
      </c>
      <c r="G329" s="13" t="s">
        <v>1371</v>
      </c>
      <c r="H329" s="13" t="s">
        <v>961</v>
      </c>
      <c r="I329" s="13" t="s">
        <v>1225</v>
      </c>
      <c r="J329" s="13" t="s">
        <v>1135</v>
      </c>
      <c r="K329" s="13" t="s">
        <v>1226</v>
      </c>
    </row>
    <row r="330" customFormat="false" ht="22.35" hidden="false" customHeight="false" outlineLevel="0" collapsed="false">
      <c r="A330" s="13" t="s">
        <v>108</v>
      </c>
      <c r="B330" s="13" t="s">
        <v>86</v>
      </c>
      <c r="C330" s="13" t="s">
        <v>109</v>
      </c>
      <c r="D330" s="13" t="s">
        <v>1369</v>
      </c>
      <c r="E330" s="13" t="s">
        <v>1131</v>
      </c>
      <c r="F330" s="13" t="s">
        <v>1370</v>
      </c>
      <c r="G330" s="13" t="s">
        <v>1371</v>
      </c>
      <c r="H330" s="13" t="s">
        <v>961</v>
      </c>
      <c r="I330" s="13" t="s">
        <v>1227</v>
      </c>
      <c r="J330" s="13" t="s">
        <v>1165</v>
      </c>
      <c r="K330" s="13" t="s">
        <v>1228</v>
      </c>
    </row>
    <row r="331" customFormat="false" ht="22.35" hidden="false" customHeight="false" outlineLevel="0" collapsed="false">
      <c r="A331" s="13" t="s">
        <v>108</v>
      </c>
      <c r="B331" s="13" t="s">
        <v>86</v>
      </c>
      <c r="C331" s="13" t="s">
        <v>109</v>
      </c>
      <c r="D331" s="13" t="s">
        <v>1369</v>
      </c>
      <c r="E331" s="13" t="s">
        <v>1131</v>
      </c>
      <c r="F331" s="13" t="s">
        <v>1370</v>
      </c>
      <c r="G331" s="13" t="s">
        <v>1371</v>
      </c>
      <c r="H331" s="13" t="s">
        <v>961</v>
      </c>
      <c r="I331" s="13" t="s">
        <v>1164</v>
      </c>
      <c r="J331" s="13" t="s">
        <v>1165</v>
      </c>
      <c r="K331" s="13" t="s">
        <v>1166</v>
      </c>
    </row>
    <row r="332" customFormat="false" ht="22.35" hidden="false" customHeight="false" outlineLevel="0" collapsed="false">
      <c r="A332" s="13" t="s">
        <v>108</v>
      </c>
      <c r="B332" s="13" t="s">
        <v>86</v>
      </c>
      <c r="C332" s="13" t="s">
        <v>109</v>
      </c>
      <c r="D332" s="13" t="s">
        <v>1372</v>
      </c>
      <c r="E332" s="13" t="s">
        <v>1204</v>
      </c>
      <c r="F332" s="13" t="s">
        <v>1373</v>
      </c>
      <c r="G332" s="13" t="s">
        <v>1374</v>
      </c>
      <c r="H332" s="13" t="s">
        <v>1375</v>
      </c>
      <c r="I332" s="13" t="s">
        <v>1164</v>
      </c>
      <c r="J332" s="13" t="s">
        <v>1165</v>
      </c>
      <c r="K332" s="13" t="s">
        <v>1166</v>
      </c>
    </row>
    <row r="333" customFormat="false" ht="15" hidden="false" customHeight="false" outlineLevel="0" collapsed="false">
      <c r="A333" s="13" t="s">
        <v>108</v>
      </c>
      <c r="B333" s="13" t="s">
        <v>86</v>
      </c>
      <c r="C333" s="13" t="s">
        <v>109</v>
      </c>
      <c r="D333" s="13" t="s">
        <v>1372</v>
      </c>
      <c r="E333" s="13" t="s">
        <v>1204</v>
      </c>
      <c r="F333" s="13" t="s">
        <v>1373</v>
      </c>
      <c r="G333" s="13" t="s">
        <v>1374</v>
      </c>
      <c r="H333" s="13" t="s">
        <v>1375</v>
      </c>
      <c r="I333" s="13" t="s">
        <v>1207</v>
      </c>
      <c r="J333" s="13" t="s">
        <v>1135</v>
      </c>
      <c r="K333" s="13" t="s">
        <v>1208</v>
      </c>
    </row>
    <row r="334" customFormat="false" ht="22.35" hidden="false" customHeight="false" outlineLevel="0" collapsed="false">
      <c r="A334" s="13" t="s">
        <v>108</v>
      </c>
      <c r="B334" s="13" t="s">
        <v>86</v>
      </c>
      <c r="C334" s="13" t="s">
        <v>109</v>
      </c>
      <c r="D334" s="13" t="s">
        <v>1376</v>
      </c>
      <c r="E334" s="13" t="s">
        <v>1204</v>
      </c>
      <c r="F334" s="13" t="s">
        <v>1373</v>
      </c>
      <c r="G334" s="13" t="s">
        <v>1377</v>
      </c>
      <c r="H334" s="13" t="s">
        <v>1378</v>
      </c>
      <c r="I334" s="13" t="s">
        <v>1164</v>
      </c>
      <c r="J334" s="13" t="s">
        <v>1165</v>
      </c>
      <c r="K334" s="13" t="s">
        <v>1166</v>
      </c>
    </row>
    <row r="335" customFormat="false" ht="15" hidden="false" customHeight="false" outlineLevel="0" collapsed="false">
      <c r="A335" s="13" t="s">
        <v>108</v>
      </c>
      <c r="B335" s="13" t="s">
        <v>86</v>
      </c>
      <c r="C335" s="13" t="s">
        <v>109</v>
      </c>
      <c r="D335" s="13" t="s">
        <v>1376</v>
      </c>
      <c r="E335" s="13" t="s">
        <v>1204</v>
      </c>
      <c r="F335" s="13" t="s">
        <v>1373</v>
      </c>
      <c r="G335" s="13" t="s">
        <v>1377</v>
      </c>
      <c r="H335" s="13" t="s">
        <v>1378</v>
      </c>
      <c r="I335" s="13" t="s">
        <v>1207</v>
      </c>
      <c r="J335" s="13" t="s">
        <v>1135</v>
      </c>
      <c r="K335" s="13" t="s">
        <v>1208</v>
      </c>
    </row>
    <row r="336" customFormat="false" ht="15" hidden="false" customHeight="false" outlineLevel="0" collapsed="false">
      <c r="A336" s="13" t="s">
        <v>111</v>
      </c>
      <c r="B336" s="13" t="s">
        <v>86</v>
      </c>
      <c r="C336" s="13" t="s">
        <v>112</v>
      </c>
      <c r="D336" s="13" t="s">
        <v>1379</v>
      </c>
      <c r="E336" s="13" t="s">
        <v>1314</v>
      </c>
      <c r="F336" s="13" t="s">
        <v>1315</v>
      </c>
      <c r="G336" s="13" t="s">
        <v>1380</v>
      </c>
      <c r="H336" s="13" t="s">
        <v>314</v>
      </c>
      <c r="I336" s="13" t="s">
        <v>1301</v>
      </c>
      <c r="J336" s="13" t="s">
        <v>1274</v>
      </c>
      <c r="K336" s="13" t="s">
        <v>1302</v>
      </c>
    </row>
    <row r="337" customFormat="false" ht="15" hidden="false" customHeight="false" outlineLevel="0" collapsed="false">
      <c r="A337" s="13" t="s">
        <v>111</v>
      </c>
      <c r="B337" s="13" t="s">
        <v>86</v>
      </c>
      <c r="C337" s="13" t="s">
        <v>112</v>
      </c>
      <c r="D337" s="13" t="s">
        <v>1379</v>
      </c>
      <c r="E337" s="13" t="s">
        <v>1314</v>
      </c>
      <c r="F337" s="13" t="s">
        <v>1315</v>
      </c>
      <c r="G337" s="13" t="s">
        <v>1380</v>
      </c>
      <c r="H337" s="13" t="s">
        <v>314</v>
      </c>
      <c r="I337" s="13" t="s">
        <v>1273</v>
      </c>
      <c r="J337" s="13" t="s">
        <v>1274</v>
      </c>
      <c r="K337" s="13" t="s">
        <v>1275</v>
      </c>
    </row>
    <row r="338" customFormat="false" ht="15" hidden="false" customHeight="false" outlineLevel="0" collapsed="false">
      <c r="A338" s="13" t="s">
        <v>111</v>
      </c>
      <c r="B338" s="13" t="s">
        <v>86</v>
      </c>
      <c r="C338" s="13" t="s">
        <v>112</v>
      </c>
      <c r="D338" s="13" t="s">
        <v>1313</v>
      </c>
      <c r="E338" s="13" t="s">
        <v>1314</v>
      </c>
      <c r="F338" s="13" t="s">
        <v>1315</v>
      </c>
      <c r="G338" s="13" t="s">
        <v>1316</v>
      </c>
      <c r="H338" s="13" t="s">
        <v>314</v>
      </c>
      <c r="I338" s="13" t="s">
        <v>1301</v>
      </c>
      <c r="J338" s="13" t="s">
        <v>1274</v>
      </c>
      <c r="K338" s="13" t="s">
        <v>1302</v>
      </c>
    </row>
    <row r="339" customFormat="false" ht="15" hidden="false" customHeight="false" outlineLevel="0" collapsed="false">
      <c r="A339" s="13" t="s">
        <v>111</v>
      </c>
      <c r="B339" s="13" t="s">
        <v>86</v>
      </c>
      <c r="C339" s="13" t="s">
        <v>112</v>
      </c>
      <c r="D339" s="13" t="s">
        <v>1313</v>
      </c>
      <c r="E339" s="13" t="s">
        <v>1314</v>
      </c>
      <c r="F339" s="13" t="s">
        <v>1315</v>
      </c>
      <c r="G339" s="13" t="s">
        <v>1316</v>
      </c>
      <c r="H339" s="13" t="s">
        <v>314</v>
      </c>
      <c r="I339" s="13" t="s">
        <v>1273</v>
      </c>
      <c r="J339" s="13" t="s">
        <v>1274</v>
      </c>
      <c r="K339" s="13" t="s">
        <v>1275</v>
      </c>
    </row>
    <row r="340" customFormat="false" ht="15" hidden="false" customHeight="false" outlineLevel="0" collapsed="false">
      <c r="A340" s="13" t="s">
        <v>111</v>
      </c>
      <c r="B340" s="13" t="s">
        <v>86</v>
      </c>
      <c r="C340" s="13" t="s">
        <v>112</v>
      </c>
      <c r="D340" s="13" t="s">
        <v>1381</v>
      </c>
      <c r="E340" s="13" t="s">
        <v>1314</v>
      </c>
      <c r="F340" s="13" t="s">
        <v>1315</v>
      </c>
      <c r="G340" s="13" t="s">
        <v>1382</v>
      </c>
      <c r="H340" s="13" t="s">
        <v>314</v>
      </c>
      <c r="I340" s="13" t="s">
        <v>1301</v>
      </c>
      <c r="J340" s="13" t="s">
        <v>1274</v>
      </c>
      <c r="K340" s="13" t="s">
        <v>1302</v>
      </c>
    </row>
    <row r="341" customFormat="false" ht="15" hidden="false" customHeight="false" outlineLevel="0" collapsed="false">
      <c r="A341" s="13" t="s">
        <v>111</v>
      </c>
      <c r="B341" s="13" t="s">
        <v>86</v>
      </c>
      <c r="C341" s="13" t="s">
        <v>112</v>
      </c>
      <c r="D341" s="13" t="s">
        <v>1381</v>
      </c>
      <c r="E341" s="13" t="s">
        <v>1314</v>
      </c>
      <c r="F341" s="13" t="s">
        <v>1315</v>
      </c>
      <c r="G341" s="13" t="s">
        <v>1382</v>
      </c>
      <c r="H341" s="13" t="s">
        <v>314</v>
      </c>
      <c r="I341" s="13" t="s">
        <v>1273</v>
      </c>
      <c r="J341" s="13" t="s">
        <v>1274</v>
      </c>
      <c r="K341" s="13" t="s">
        <v>1275</v>
      </c>
    </row>
    <row r="342" customFormat="false" ht="15" hidden="false" customHeight="false" outlineLevel="0" collapsed="false">
      <c r="A342" s="13" t="s">
        <v>111</v>
      </c>
      <c r="B342" s="13" t="s">
        <v>86</v>
      </c>
      <c r="C342" s="13" t="s">
        <v>112</v>
      </c>
      <c r="D342" s="13" t="s">
        <v>1383</v>
      </c>
      <c r="E342" s="13" t="s">
        <v>1192</v>
      </c>
      <c r="F342" s="13" t="s">
        <v>1384</v>
      </c>
      <c r="G342" s="13" t="s">
        <v>1385</v>
      </c>
      <c r="H342" s="13" t="s">
        <v>972</v>
      </c>
      <c r="I342" s="13" t="s">
        <v>1150</v>
      </c>
      <c r="J342" s="13" t="s">
        <v>1135</v>
      </c>
      <c r="K342" s="13" t="s">
        <v>1151</v>
      </c>
    </row>
    <row r="343" customFormat="false" ht="22.35" hidden="false" customHeight="false" outlineLevel="0" collapsed="false">
      <c r="A343" s="13" t="s">
        <v>111</v>
      </c>
      <c r="B343" s="13" t="s">
        <v>86</v>
      </c>
      <c r="C343" s="13" t="s">
        <v>112</v>
      </c>
      <c r="D343" s="13" t="s">
        <v>1383</v>
      </c>
      <c r="E343" s="13" t="s">
        <v>1192</v>
      </c>
      <c r="F343" s="13" t="s">
        <v>1384</v>
      </c>
      <c r="G343" s="13" t="s">
        <v>1385</v>
      </c>
      <c r="H343" s="13" t="s">
        <v>972</v>
      </c>
      <c r="I343" s="13" t="s">
        <v>1285</v>
      </c>
      <c r="J343" s="13" t="s">
        <v>1165</v>
      </c>
      <c r="K343" s="13" t="s">
        <v>1286</v>
      </c>
    </row>
    <row r="344" customFormat="false" ht="15" hidden="false" customHeight="false" outlineLevel="0" collapsed="false">
      <c r="A344" s="15" t="s">
        <v>117</v>
      </c>
      <c r="B344" s="15" t="s">
        <v>114</v>
      </c>
      <c r="C344" s="15" t="s">
        <v>118</v>
      </c>
      <c r="D344" s="15" t="s">
        <v>1211</v>
      </c>
      <c r="E344" s="15" t="s">
        <v>1168</v>
      </c>
      <c r="F344" s="15" t="s">
        <v>1169</v>
      </c>
      <c r="G344" s="15" t="s">
        <v>1212</v>
      </c>
      <c r="H344" s="15" t="s">
        <v>235</v>
      </c>
      <c r="I344" s="15" t="s">
        <v>1177</v>
      </c>
      <c r="J344" s="15" t="s">
        <v>1165</v>
      </c>
      <c r="K344" s="15" t="s">
        <v>1178</v>
      </c>
    </row>
    <row r="345" customFormat="false" ht="15" hidden="false" customHeight="false" outlineLevel="0" collapsed="false">
      <c r="A345" s="15" t="s">
        <v>117</v>
      </c>
      <c r="B345" s="15" t="s">
        <v>114</v>
      </c>
      <c r="C345" s="15" t="s">
        <v>118</v>
      </c>
      <c r="D345" s="15" t="s">
        <v>1211</v>
      </c>
      <c r="E345" s="15" t="s">
        <v>1168</v>
      </c>
      <c r="F345" s="15" t="s">
        <v>1169</v>
      </c>
      <c r="G345" s="15" t="s">
        <v>1212</v>
      </c>
      <c r="H345" s="15" t="s">
        <v>235</v>
      </c>
      <c r="I345" s="15" t="s">
        <v>1171</v>
      </c>
      <c r="J345" s="15" t="s">
        <v>1135</v>
      </c>
      <c r="K345" s="15" t="s">
        <v>1172</v>
      </c>
    </row>
    <row r="346" customFormat="false" ht="15" hidden="false" customHeight="false" outlineLevel="0" collapsed="false">
      <c r="A346" s="15" t="s">
        <v>117</v>
      </c>
      <c r="B346" s="15" t="s">
        <v>114</v>
      </c>
      <c r="C346" s="15" t="s">
        <v>118</v>
      </c>
      <c r="D346" s="15" t="s">
        <v>1213</v>
      </c>
      <c r="E346" s="15" t="s">
        <v>1168</v>
      </c>
      <c r="F346" s="15" t="s">
        <v>1169</v>
      </c>
      <c r="G346" s="15" t="s">
        <v>1214</v>
      </c>
      <c r="H346" s="15" t="s">
        <v>235</v>
      </c>
      <c r="I346" s="15" t="s">
        <v>1171</v>
      </c>
      <c r="J346" s="15" t="s">
        <v>1135</v>
      </c>
      <c r="K346" s="15" t="s">
        <v>1172</v>
      </c>
    </row>
    <row r="347" customFormat="false" ht="15" hidden="false" customHeight="false" outlineLevel="0" collapsed="false">
      <c r="A347" s="15" t="s">
        <v>117</v>
      </c>
      <c r="B347" s="15" t="s">
        <v>114</v>
      </c>
      <c r="C347" s="15" t="s">
        <v>118</v>
      </c>
      <c r="D347" s="15" t="s">
        <v>1213</v>
      </c>
      <c r="E347" s="15" t="s">
        <v>1168</v>
      </c>
      <c r="F347" s="15" t="s">
        <v>1169</v>
      </c>
      <c r="G347" s="15" t="s">
        <v>1214</v>
      </c>
      <c r="H347" s="15" t="s">
        <v>235</v>
      </c>
      <c r="I347" s="15" t="s">
        <v>1173</v>
      </c>
      <c r="J347" s="15" t="s">
        <v>1135</v>
      </c>
      <c r="K347" s="15" t="s">
        <v>1174</v>
      </c>
    </row>
    <row r="348" customFormat="false" ht="15" hidden="false" customHeight="false" outlineLevel="0" collapsed="false">
      <c r="A348" s="15" t="s">
        <v>117</v>
      </c>
      <c r="B348" s="15" t="s">
        <v>114</v>
      </c>
      <c r="C348" s="15" t="s">
        <v>118</v>
      </c>
      <c r="D348" s="15" t="s">
        <v>1213</v>
      </c>
      <c r="E348" s="15" t="s">
        <v>1168</v>
      </c>
      <c r="F348" s="15" t="s">
        <v>1169</v>
      </c>
      <c r="G348" s="15" t="s">
        <v>1214</v>
      </c>
      <c r="H348" s="15" t="s">
        <v>235</v>
      </c>
      <c r="I348" s="15" t="s">
        <v>1175</v>
      </c>
      <c r="J348" s="15" t="s">
        <v>1135</v>
      </c>
      <c r="K348" s="15" t="s">
        <v>1176</v>
      </c>
    </row>
    <row r="349" customFormat="false" ht="15" hidden="false" customHeight="false" outlineLevel="0" collapsed="false">
      <c r="A349" s="15" t="s">
        <v>117</v>
      </c>
      <c r="B349" s="15" t="s">
        <v>114</v>
      </c>
      <c r="C349" s="15" t="s">
        <v>118</v>
      </c>
      <c r="D349" s="15" t="s">
        <v>1213</v>
      </c>
      <c r="E349" s="15" t="s">
        <v>1168</v>
      </c>
      <c r="F349" s="15" t="s">
        <v>1169</v>
      </c>
      <c r="G349" s="15" t="s">
        <v>1214</v>
      </c>
      <c r="H349" s="15" t="s">
        <v>235</v>
      </c>
      <c r="I349" s="15" t="s">
        <v>1177</v>
      </c>
      <c r="J349" s="15" t="s">
        <v>1165</v>
      </c>
      <c r="K349" s="15" t="s">
        <v>1178</v>
      </c>
    </row>
    <row r="350" customFormat="false" ht="15" hidden="false" customHeight="false" outlineLevel="0" collapsed="false">
      <c r="A350" s="15" t="s">
        <v>117</v>
      </c>
      <c r="B350" s="15" t="s">
        <v>114</v>
      </c>
      <c r="C350" s="15" t="s">
        <v>118</v>
      </c>
      <c r="D350" s="15" t="s">
        <v>1213</v>
      </c>
      <c r="E350" s="15" t="s">
        <v>1168</v>
      </c>
      <c r="F350" s="15" t="s">
        <v>1169</v>
      </c>
      <c r="G350" s="15" t="s">
        <v>1214</v>
      </c>
      <c r="H350" s="15" t="s">
        <v>235</v>
      </c>
      <c r="I350" s="15" t="s">
        <v>1179</v>
      </c>
      <c r="J350" s="15" t="s">
        <v>1165</v>
      </c>
      <c r="K350" s="15" t="s">
        <v>1180</v>
      </c>
    </row>
    <row r="351" customFormat="false" ht="22.35" hidden="false" customHeight="false" outlineLevel="0" collapsed="false">
      <c r="A351" s="15" t="s">
        <v>117</v>
      </c>
      <c r="B351" s="15" t="s">
        <v>114</v>
      </c>
      <c r="C351" s="15" t="s">
        <v>118</v>
      </c>
      <c r="D351" s="15" t="s">
        <v>1162</v>
      </c>
      <c r="E351" s="15" t="s">
        <v>1153</v>
      </c>
      <c r="F351" s="15" t="s">
        <v>1154</v>
      </c>
      <c r="G351" s="15" t="s">
        <v>1163</v>
      </c>
      <c r="H351" s="15" t="s">
        <v>1156</v>
      </c>
      <c r="I351" s="15" t="s">
        <v>1164</v>
      </c>
      <c r="J351" s="15" t="s">
        <v>1165</v>
      </c>
      <c r="K351" s="15" t="s">
        <v>1166</v>
      </c>
    </row>
    <row r="352" customFormat="false" ht="22.35" hidden="false" customHeight="false" outlineLevel="0" collapsed="false">
      <c r="A352" s="15" t="s">
        <v>117</v>
      </c>
      <c r="B352" s="15" t="s">
        <v>114</v>
      </c>
      <c r="C352" s="15" t="s">
        <v>118</v>
      </c>
      <c r="D352" s="15" t="s">
        <v>1162</v>
      </c>
      <c r="E352" s="15" t="s">
        <v>1153</v>
      </c>
      <c r="F352" s="15" t="s">
        <v>1154</v>
      </c>
      <c r="G352" s="15" t="s">
        <v>1163</v>
      </c>
      <c r="H352" s="15" t="s">
        <v>1156</v>
      </c>
      <c r="I352" s="15" t="s">
        <v>1157</v>
      </c>
      <c r="J352" s="15" t="s">
        <v>1135</v>
      </c>
      <c r="K352" s="15" t="s">
        <v>1158</v>
      </c>
    </row>
    <row r="353" customFormat="false" ht="15" hidden="false" customHeight="false" outlineLevel="0" collapsed="false">
      <c r="A353" s="15" t="s">
        <v>120</v>
      </c>
      <c r="B353" s="15" t="s">
        <v>114</v>
      </c>
      <c r="C353" s="15" t="s">
        <v>121</v>
      </c>
      <c r="D353" s="15" t="s">
        <v>1386</v>
      </c>
      <c r="E353" s="15" t="s">
        <v>1314</v>
      </c>
      <c r="F353" s="15" t="s">
        <v>1387</v>
      </c>
      <c r="G353" s="15" t="s">
        <v>1388</v>
      </c>
      <c r="H353" s="15" t="s">
        <v>314</v>
      </c>
      <c r="I353" s="15" t="s">
        <v>1389</v>
      </c>
      <c r="J353" s="15" t="s">
        <v>1160</v>
      </c>
      <c r="K353" s="15" t="s">
        <v>1390</v>
      </c>
    </row>
    <row r="354" customFormat="false" ht="15" hidden="false" customHeight="false" outlineLevel="0" collapsed="false">
      <c r="A354" s="15" t="s">
        <v>120</v>
      </c>
      <c r="B354" s="15" t="s">
        <v>114</v>
      </c>
      <c r="C354" s="15" t="s">
        <v>121</v>
      </c>
      <c r="D354" s="15" t="s">
        <v>1386</v>
      </c>
      <c r="E354" s="15" t="s">
        <v>1314</v>
      </c>
      <c r="F354" s="15" t="s">
        <v>1387</v>
      </c>
      <c r="G354" s="15" t="s">
        <v>1388</v>
      </c>
      <c r="H354" s="15" t="s">
        <v>314</v>
      </c>
      <c r="I354" s="15" t="s">
        <v>1391</v>
      </c>
      <c r="J354" s="15" t="s">
        <v>1274</v>
      </c>
      <c r="K354" s="15" t="s">
        <v>1392</v>
      </c>
    </row>
    <row r="355" customFormat="false" ht="15" hidden="false" customHeight="false" outlineLevel="0" collapsed="false">
      <c r="A355" s="15" t="s">
        <v>120</v>
      </c>
      <c r="B355" s="15" t="s">
        <v>114</v>
      </c>
      <c r="C355" s="15" t="s">
        <v>121</v>
      </c>
      <c r="D355" s="15" t="s">
        <v>1386</v>
      </c>
      <c r="E355" s="15" t="s">
        <v>1314</v>
      </c>
      <c r="F355" s="15" t="s">
        <v>1387</v>
      </c>
      <c r="G355" s="15" t="s">
        <v>1388</v>
      </c>
      <c r="H355" s="15" t="s">
        <v>314</v>
      </c>
      <c r="I355" s="15" t="s">
        <v>1393</v>
      </c>
      <c r="J355" s="15" t="s">
        <v>1274</v>
      </c>
      <c r="K355" s="15" t="s">
        <v>1394</v>
      </c>
    </row>
    <row r="356" customFormat="false" ht="15" hidden="false" customHeight="false" outlineLevel="0" collapsed="false">
      <c r="A356" s="15" t="s">
        <v>120</v>
      </c>
      <c r="B356" s="15" t="s">
        <v>114</v>
      </c>
      <c r="C356" s="15" t="s">
        <v>121</v>
      </c>
      <c r="D356" s="15" t="s">
        <v>1231</v>
      </c>
      <c r="E356" s="15" t="s">
        <v>1204</v>
      </c>
      <c r="F356" s="15" t="s">
        <v>1205</v>
      </c>
      <c r="G356" s="15" t="s">
        <v>1232</v>
      </c>
      <c r="H356" s="15" t="s">
        <v>314</v>
      </c>
      <c r="I356" s="15" t="s">
        <v>1233</v>
      </c>
      <c r="J356" s="15" t="s">
        <v>1160</v>
      </c>
      <c r="K356" s="15" t="s">
        <v>1234</v>
      </c>
    </row>
    <row r="357" customFormat="false" ht="22.35" hidden="false" customHeight="false" outlineLevel="0" collapsed="false">
      <c r="A357" s="15" t="s">
        <v>120</v>
      </c>
      <c r="B357" s="15" t="s">
        <v>114</v>
      </c>
      <c r="C357" s="15" t="s">
        <v>121</v>
      </c>
      <c r="D357" s="15" t="s">
        <v>1231</v>
      </c>
      <c r="E357" s="15" t="s">
        <v>1204</v>
      </c>
      <c r="F357" s="15" t="s">
        <v>1205</v>
      </c>
      <c r="G357" s="15" t="s">
        <v>1232</v>
      </c>
      <c r="H357" s="15" t="s">
        <v>314</v>
      </c>
      <c r="I357" s="15" t="s">
        <v>1235</v>
      </c>
      <c r="J357" s="15" t="s">
        <v>1160</v>
      </c>
      <c r="K357" s="15" t="s">
        <v>1236</v>
      </c>
    </row>
    <row r="358" customFormat="false" ht="15" hidden="false" customHeight="false" outlineLevel="0" collapsed="false">
      <c r="A358" s="15" t="s">
        <v>120</v>
      </c>
      <c r="B358" s="15" t="s">
        <v>114</v>
      </c>
      <c r="C358" s="15" t="s">
        <v>121</v>
      </c>
      <c r="D358" s="15" t="s">
        <v>1231</v>
      </c>
      <c r="E358" s="15" t="s">
        <v>1204</v>
      </c>
      <c r="F358" s="15" t="s">
        <v>1205</v>
      </c>
      <c r="G358" s="15" t="s">
        <v>1232</v>
      </c>
      <c r="H358" s="15" t="s">
        <v>314</v>
      </c>
      <c r="I358" s="15" t="s">
        <v>1187</v>
      </c>
      <c r="J358" s="15" t="s">
        <v>1135</v>
      </c>
      <c r="K358" s="15" t="s">
        <v>1188</v>
      </c>
    </row>
    <row r="359" customFormat="false" ht="22.35" hidden="false" customHeight="false" outlineLevel="0" collapsed="false">
      <c r="A359" s="15" t="s">
        <v>120</v>
      </c>
      <c r="B359" s="15" t="s">
        <v>114</v>
      </c>
      <c r="C359" s="15" t="s">
        <v>121</v>
      </c>
      <c r="D359" s="15" t="s">
        <v>1395</v>
      </c>
      <c r="E359" s="15" t="s">
        <v>1153</v>
      </c>
      <c r="F359" s="15" t="s">
        <v>1396</v>
      </c>
      <c r="G359" s="15" t="s">
        <v>1397</v>
      </c>
      <c r="H359" s="15" t="s">
        <v>961</v>
      </c>
      <c r="I359" s="15" t="s">
        <v>1159</v>
      </c>
      <c r="J359" s="15" t="s">
        <v>1160</v>
      </c>
      <c r="K359" s="15" t="s">
        <v>1161</v>
      </c>
    </row>
    <row r="360" customFormat="false" ht="22.35" hidden="false" customHeight="false" outlineLevel="0" collapsed="false">
      <c r="A360" s="17" t="s">
        <v>126</v>
      </c>
      <c r="B360" s="17" t="s">
        <v>123</v>
      </c>
      <c r="C360" s="17" t="s">
        <v>127</v>
      </c>
      <c r="D360" s="17" t="s">
        <v>1398</v>
      </c>
      <c r="E360" s="17" t="s">
        <v>1168</v>
      </c>
      <c r="F360" s="17" t="s">
        <v>1399</v>
      </c>
      <c r="G360" s="17" t="s">
        <v>1400</v>
      </c>
      <c r="H360" s="17" t="s">
        <v>1401</v>
      </c>
      <c r="I360" s="17" t="s">
        <v>1148</v>
      </c>
      <c r="J360" s="17" t="s">
        <v>1135</v>
      </c>
      <c r="K360" s="17" t="s">
        <v>1149</v>
      </c>
    </row>
    <row r="361" customFormat="false" ht="15" hidden="false" customHeight="false" outlineLevel="0" collapsed="false">
      <c r="A361" s="17" t="s">
        <v>126</v>
      </c>
      <c r="B361" s="17" t="s">
        <v>123</v>
      </c>
      <c r="C361" s="17" t="s">
        <v>127</v>
      </c>
      <c r="D361" s="17" t="s">
        <v>1398</v>
      </c>
      <c r="E361" s="17" t="s">
        <v>1168</v>
      </c>
      <c r="F361" s="17" t="s">
        <v>1399</v>
      </c>
      <c r="G361" s="17" t="s">
        <v>1400</v>
      </c>
      <c r="H361" s="17" t="s">
        <v>1401</v>
      </c>
      <c r="I361" s="17" t="s">
        <v>1177</v>
      </c>
      <c r="J361" s="17" t="s">
        <v>1165</v>
      </c>
      <c r="K361" s="17" t="s">
        <v>1178</v>
      </c>
    </row>
    <row r="362" customFormat="false" ht="22.35" hidden="false" customHeight="false" outlineLevel="0" collapsed="false">
      <c r="A362" s="17" t="s">
        <v>126</v>
      </c>
      <c r="B362" s="17" t="s">
        <v>123</v>
      </c>
      <c r="C362" s="17" t="s">
        <v>127</v>
      </c>
      <c r="D362" s="17" t="s">
        <v>1398</v>
      </c>
      <c r="E362" s="17" t="s">
        <v>1168</v>
      </c>
      <c r="F362" s="17" t="s">
        <v>1399</v>
      </c>
      <c r="G362" s="17" t="s">
        <v>1400</v>
      </c>
      <c r="H362" s="17" t="s">
        <v>1401</v>
      </c>
      <c r="I362" s="17" t="s">
        <v>1285</v>
      </c>
      <c r="J362" s="17" t="s">
        <v>1165</v>
      </c>
      <c r="K362" s="17" t="s">
        <v>1286</v>
      </c>
    </row>
    <row r="363" customFormat="false" ht="22.35" hidden="false" customHeight="false" outlineLevel="0" collapsed="false">
      <c r="A363" s="17" t="s">
        <v>126</v>
      </c>
      <c r="B363" s="17" t="s">
        <v>123</v>
      </c>
      <c r="C363" s="17" t="s">
        <v>127</v>
      </c>
      <c r="D363" s="17" t="s">
        <v>1398</v>
      </c>
      <c r="E363" s="17" t="s">
        <v>1168</v>
      </c>
      <c r="F363" s="17" t="s">
        <v>1399</v>
      </c>
      <c r="G363" s="17" t="s">
        <v>1400</v>
      </c>
      <c r="H363" s="17" t="s">
        <v>1401</v>
      </c>
      <c r="I363" s="17" t="s">
        <v>1157</v>
      </c>
      <c r="J363" s="17" t="s">
        <v>1135</v>
      </c>
      <c r="K363" s="17" t="s">
        <v>1158</v>
      </c>
    </row>
    <row r="364" customFormat="false" ht="22.35" hidden="false" customHeight="false" outlineLevel="0" collapsed="false">
      <c r="A364" s="17" t="s">
        <v>126</v>
      </c>
      <c r="B364" s="17" t="s">
        <v>123</v>
      </c>
      <c r="C364" s="17" t="s">
        <v>127</v>
      </c>
      <c r="D364" s="17" t="s">
        <v>1402</v>
      </c>
      <c r="E364" s="17" t="s">
        <v>1168</v>
      </c>
      <c r="F364" s="17" t="s">
        <v>1399</v>
      </c>
      <c r="G364" s="17" t="s">
        <v>1403</v>
      </c>
      <c r="H364" s="17" t="s">
        <v>1401</v>
      </c>
      <c r="I364" s="17" t="s">
        <v>1148</v>
      </c>
      <c r="J364" s="17" t="s">
        <v>1135</v>
      </c>
      <c r="K364" s="17" t="s">
        <v>1149</v>
      </c>
    </row>
    <row r="365" customFormat="false" ht="15" hidden="false" customHeight="false" outlineLevel="0" collapsed="false">
      <c r="A365" s="17" t="s">
        <v>126</v>
      </c>
      <c r="B365" s="17" t="s">
        <v>123</v>
      </c>
      <c r="C365" s="17" t="s">
        <v>127</v>
      </c>
      <c r="D365" s="17" t="s">
        <v>1402</v>
      </c>
      <c r="E365" s="17" t="s">
        <v>1168</v>
      </c>
      <c r="F365" s="17" t="s">
        <v>1399</v>
      </c>
      <c r="G365" s="17" t="s">
        <v>1403</v>
      </c>
      <c r="H365" s="17" t="s">
        <v>1401</v>
      </c>
      <c r="I365" s="17" t="s">
        <v>1177</v>
      </c>
      <c r="J365" s="17" t="s">
        <v>1165</v>
      </c>
      <c r="K365" s="17" t="s">
        <v>1178</v>
      </c>
    </row>
    <row r="366" customFormat="false" ht="22.35" hidden="false" customHeight="false" outlineLevel="0" collapsed="false">
      <c r="A366" s="17" t="s">
        <v>126</v>
      </c>
      <c r="B366" s="17" t="s">
        <v>123</v>
      </c>
      <c r="C366" s="17" t="s">
        <v>127</v>
      </c>
      <c r="D366" s="17" t="s">
        <v>1402</v>
      </c>
      <c r="E366" s="17" t="s">
        <v>1168</v>
      </c>
      <c r="F366" s="17" t="s">
        <v>1399</v>
      </c>
      <c r="G366" s="17" t="s">
        <v>1403</v>
      </c>
      <c r="H366" s="17" t="s">
        <v>1401</v>
      </c>
      <c r="I366" s="17" t="s">
        <v>1285</v>
      </c>
      <c r="J366" s="17" t="s">
        <v>1165</v>
      </c>
      <c r="K366" s="17" t="s">
        <v>1286</v>
      </c>
    </row>
    <row r="367" customFormat="false" ht="15" hidden="false" customHeight="false" outlineLevel="0" collapsed="false">
      <c r="A367" s="17" t="s">
        <v>126</v>
      </c>
      <c r="B367" s="17" t="s">
        <v>123</v>
      </c>
      <c r="C367" s="17" t="s">
        <v>127</v>
      </c>
      <c r="D367" s="17" t="s">
        <v>1404</v>
      </c>
      <c r="E367" s="17" t="s">
        <v>1168</v>
      </c>
      <c r="F367" s="17" t="s">
        <v>1399</v>
      </c>
      <c r="G367" s="17" t="s">
        <v>1405</v>
      </c>
      <c r="H367" s="17" t="s">
        <v>1401</v>
      </c>
      <c r="I367" s="17" t="s">
        <v>1171</v>
      </c>
      <c r="J367" s="17" t="s">
        <v>1135</v>
      </c>
      <c r="K367" s="17" t="s">
        <v>1172</v>
      </c>
    </row>
    <row r="368" customFormat="false" ht="22.35" hidden="false" customHeight="false" outlineLevel="0" collapsed="false">
      <c r="A368" s="17" t="s">
        <v>126</v>
      </c>
      <c r="B368" s="17" t="s">
        <v>123</v>
      </c>
      <c r="C368" s="17" t="s">
        <v>127</v>
      </c>
      <c r="D368" s="17" t="s">
        <v>1406</v>
      </c>
      <c r="E368" s="17" t="s">
        <v>1168</v>
      </c>
      <c r="F368" s="17" t="s">
        <v>1399</v>
      </c>
      <c r="G368" s="17" t="s">
        <v>1407</v>
      </c>
      <c r="H368" s="17" t="s">
        <v>1401</v>
      </c>
      <c r="I368" s="17" t="s">
        <v>1148</v>
      </c>
      <c r="J368" s="17" t="s">
        <v>1135</v>
      </c>
      <c r="K368" s="17" t="s">
        <v>1149</v>
      </c>
    </row>
    <row r="369" customFormat="false" ht="15" hidden="false" customHeight="false" outlineLevel="0" collapsed="false">
      <c r="A369" s="17" t="s">
        <v>126</v>
      </c>
      <c r="B369" s="17" t="s">
        <v>123</v>
      </c>
      <c r="C369" s="17" t="s">
        <v>127</v>
      </c>
      <c r="D369" s="17" t="s">
        <v>1406</v>
      </c>
      <c r="E369" s="17" t="s">
        <v>1168</v>
      </c>
      <c r="F369" s="17" t="s">
        <v>1399</v>
      </c>
      <c r="G369" s="17" t="s">
        <v>1407</v>
      </c>
      <c r="H369" s="17" t="s">
        <v>1401</v>
      </c>
      <c r="I369" s="17" t="s">
        <v>1150</v>
      </c>
      <c r="J369" s="17" t="s">
        <v>1135</v>
      </c>
      <c r="K369" s="17" t="s">
        <v>1151</v>
      </c>
    </row>
    <row r="370" customFormat="false" ht="15" hidden="false" customHeight="false" outlineLevel="0" collapsed="false">
      <c r="A370" s="17" t="s">
        <v>126</v>
      </c>
      <c r="B370" s="17" t="s">
        <v>123</v>
      </c>
      <c r="C370" s="17" t="s">
        <v>127</v>
      </c>
      <c r="D370" s="17" t="s">
        <v>1408</v>
      </c>
      <c r="E370" s="17" t="s">
        <v>1168</v>
      </c>
      <c r="F370" s="17" t="s">
        <v>1169</v>
      </c>
      <c r="G370" s="17" t="s">
        <v>1409</v>
      </c>
      <c r="H370" s="17" t="s">
        <v>972</v>
      </c>
      <c r="I370" s="17" t="s">
        <v>1171</v>
      </c>
      <c r="J370" s="17" t="s">
        <v>1135</v>
      </c>
      <c r="K370" s="17" t="s">
        <v>1172</v>
      </c>
    </row>
    <row r="371" customFormat="false" ht="15" hidden="false" customHeight="false" outlineLevel="0" collapsed="false">
      <c r="A371" s="17" t="s">
        <v>126</v>
      </c>
      <c r="B371" s="17" t="s">
        <v>123</v>
      </c>
      <c r="C371" s="17" t="s">
        <v>127</v>
      </c>
      <c r="D371" s="17" t="s">
        <v>1408</v>
      </c>
      <c r="E371" s="17" t="s">
        <v>1168</v>
      </c>
      <c r="F371" s="17" t="s">
        <v>1169</v>
      </c>
      <c r="G371" s="17" t="s">
        <v>1409</v>
      </c>
      <c r="H371" s="17" t="s">
        <v>972</v>
      </c>
      <c r="I371" s="17" t="s">
        <v>1173</v>
      </c>
      <c r="J371" s="17" t="s">
        <v>1135</v>
      </c>
      <c r="K371" s="17" t="s">
        <v>1174</v>
      </c>
    </row>
    <row r="372" customFormat="false" ht="15" hidden="false" customHeight="false" outlineLevel="0" collapsed="false">
      <c r="A372" s="17" t="s">
        <v>126</v>
      </c>
      <c r="B372" s="17" t="s">
        <v>123</v>
      </c>
      <c r="C372" s="17" t="s">
        <v>127</v>
      </c>
      <c r="D372" s="17" t="s">
        <v>1408</v>
      </c>
      <c r="E372" s="17" t="s">
        <v>1168</v>
      </c>
      <c r="F372" s="17" t="s">
        <v>1169</v>
      </c>
      <c r="G372" s="17" t="s">
        <v>1409</v>
      </c>
      <c r="H372" s="17" t="s">
        <v>972</v>
      </c>
      <c r="I372" s="17" t="s">
        <v>1175</v>
      </c>
      <c r="J372" s="17" t="s">
        <v>1135</v>
      </c>
      <c r="K372" s="17" t="s">
        <v>1176</v>
      </c>
    </row>
    <row r="373" customFormat="false" ht="15" hidden="false" customHeight="false" outlineLevel="0" collapsed="false">
      <c r="A373" s="17" t="s">
        <v>126</v>
      </c>
      <c r="B373" s="17" t="s">
        <v>123</v>
      </c>
      <c r="C373" s="17" t="s">
        <v>127</v>
      </c>
      <c r="D373" s="17" t="s">
        <v>1408</v>
      </c>
      <c r="E373" s="17" t="s">
        <v>1168</v>
      </c>
      <c r="F373" s="17" t="s">
        <v>1169</v>
      </c>
      <c r="G373" s="17" t="s">
        <v>1409</v>
      </c>
      <c r="H373" s="17" t="s">
        <v>972</v>
      </c>
      <c r="I373" s="17" t="s">
        <v>1177</v>
      </c>
      <c r="J373" s="17" t="s">
        <v>1165</v>
      </c>
      <c r="K373" s="17" t="s">
        <v>1178</v>
      </c>
    </row>
    <row r="374" customFormat="false" ht="15" hidden="false" customHeight="false" outlineLevel="0" collapsed="false">
      <c r="A374" s="17" t="s">
        <v>126</v>
      </c>
      <c r="B374" s="17" t="s">
        <v>123</v>
      </c>
      <c r="C374" s="17" t="s">
        <v>127</v>
      </c>
      <c r="D374" s="17" t="s">
        <v>1408</v>
      </c>
      <c r="E374" s="17" t="s">
        <v>1168</v>
      </c>
      <c r="F374" s="17" t="s">
        <v>1169</v>
      </c>
      <c r="G374" s="17" t="s">
        <v>1409</v>
      </c>
      <c r="H374" s="17" t="s">
        <v>972</v>
      </c>
      <c r="I374" s="17" t="s">
        <v>1179</v>
      </c>
      <c r="J374" s="17" t="s">
        <v>1165</v>
      </c>
      <c r="K374" s="17" t="s">
        <v>1180</v>
      </c>
    </row>
    <row r="375" customFormat="false" ht="15" hidden="false" customHeight="false" outlineLevel="0" collapsed="false">
      <c r="A375" s="17" t="s">
        <v>130</v>
      </c>
      <c r="B375" s="17" t="s">
        <v>123</v>
      </c>
      <c r="C375" s="17" t="s">
        <v>131</v>
      </c>
      <c r="D375" s="17" t="s">
        <v>1410</v>
      </c>
      <c r="E375" s="17" t="s">
        <v>1168</v>
      </c>
      <c r="F375" s="17" t="s">
        <v>1399</v>
      </c>
      <c r="G375" s="17" t="s">
        <v>1411</v>
      </c>
      <c r="H375" s="17" t="s">
        <v>1401</v>
      </c>
      <c r="I375" s="17" t="s">
        <v>1177</v>
      </c>
      <c r="J375" s="17" t="s">
        <v>1165</v>
      </c>
      <c r="K375" s="17" t="s">
        <v>1178</v>
      </c>
    </row>
    <row r="376" customFormat="false" ht="15" hidden="false" customHeight="false" outlineLevel="0" collapsed="false">
      <c r="A376" s="17" t="s">
        <v>130</v>
      </c>
      <c r="B376" s="17" t="s">
        <v>123</v>
      </c>
      <c r="C376" s="17" t="s">
        <v>131</v>
      </c>
      <c r="D376" s="17" t="s">
        <v>1410</v>
      </c>
      <c r="E376" s="17" t="s">
        <v>1168</v>
      </c>
      <c r="F376" s="17" t="s">
        <v>1399</v>
      </c>
      <c r="G376" s="17" t="s">
        <v>1411</v>
      </c>
      <c r="H376" s="17" t="s">
        <v>1401</v>
      </c>
      <c r="I376" s="17" t="s">
        <v>1171</v>
      </c>
      <c r="J376" s="17" t="s">
        <v>1135</v>
      </c>
      <c r="K376" s="17" t="s">
        <v>1172</v>
      </c>
    </row>
    <row r="377" customFormat="false" ht="15" hidden="false" customHeight="false" outlineLevel="0" collapsed="false">
      <c r="A377" s="17" t="s">
        <v>130</v>
      </c>
      <c r="B377" s="17" t="s">
        <v>123</v>
      </c>
      <c r="C377" s="17" t="s">
        <v>131</v>
      </c>
      <c r="D377" s="17" t="s">
        <v>1404</v>
      </c>
      <c r="E377" s="17" t="s">
        <v>1168</v>
      </c>
      <c r="F377" s="17" t="s">
        <v>1399</v>
      </c>
      <c r="G377" s="17" t="s">
        <v>1405</v>
      </c>
      <c r="H377" s="17" t="s">
        <v>1401</v>
      </c>
      <c r="I377" s="17" t="s">
        <v>1171</v>
      </c>
      <c r="J377" s="17" t="s">
        <v>1135</v>
      </c>
      <c r="K377" s="17" t="s">
        <v>1172</v>
      </c>
    </row>
    <row r="378" customFormat="false" ht="22.35" hidden="false" customHeight="false" outlineLevel="0" collapsed="false">
      <c r="A378" s="17" t="s">
        <v>130</v>
      </c>
      <c r="B378" s="17" t="s">
        <v>123</v>
      </c>
      <c r="C378" s="17" t="s">
        <v>131</v>
      </c>
      <c r="D378" s="17" t="s">
        <v>1412</v>
      </c>
      <c r="E378" s="17" t="s">
        <v>1168</v>
      </c>
      <c r="F378" s="17" t="s">
        <v>1413</v>
      </c>
      <c r="G378" s="17" t="s">
        <v>1414</v>
      </c>
      <c r="H378" s="17" t="s">
        <v>1415</v>
      </c>
      <c r="I378" s="17" t="s">
        <v>1285</v>
      </c>
      <c r="J378" s="17" t="s">
        <v>1165</v>
      </c>
      <c r="K378" s="17" t="s">
        <v>1286</v>
      </c>
    </row>
    <row r="379" customFormat="false" ht="22.35" hidden="false" customHeight="false" outlineLevel="0" collapsed="false">
      <c r="A379" s="17" t="s">
        <v>130</v>
      </c>
      <c r="B379" s="17" t="s">
        <v>123</v>
      </c>
      <c r="C379" s="17" t="s">
        <v>131</v>
      </c>
      <c r="D379" s="17" t="s">
        <v>1412</v>
      </c>
      <c r="E379" s="17" t="s">
        <v>1168</v>
      </c>
      <c r="F379" s="17" t="s">
        <v>1413</v>
      </c>
      <c r="G379" s="17" t="s">
        <v>1414</v>
      </c>
      <c r="H379" s="17" t="s">
        <v>1415</v>
      </c>
      <c r="I379" s="17" t="s">
        <v>1148</v>
      </c>
      <c r="J379" s="17" t="s">
        <v>1135</v>
      </c>
      <c r="K379" s="17" t="s">
        <v>1149</v>
      </c>
    </row>
    <row r="380" customFormat="false" ht="15" hidden="false" customHeight="false" outlineLevel="0" collapsed="false">
      <c r="A380" s="17" t="s">
        <v>134</v>
      </c>
      <c r="B380" s="17" t="s">
        <v>123</v>
      </c>
      <c r="C380" s="17" t="s">
        <v>135</v>
      </c>
      <c r="D380" s="17" t="s">
        <v>1254</v>
      </c>
      <c r="E380" s="17" t="s">
        <v>1168</v>
      </c>
      <c r="F380" s="17" t="s">
        <v>1255</v>
      </c>
      <c r="G380" s="17" t="s">
        <v>1256</v>
      </c>
      <c r="H380" s="17" t="s">
        <v>1248</v>
      </c>
      <c r="I380" s="17" t="s">
        <v>1171</v>
      </c>
      <c r="J380" s="17" t="s">
        <v>1135</v>
      </c>
      <c r="K380" s="17" t="s">
        <v>1172</v>
      </c>
    </row>
    <row r="381" customFormat="false" ht="15" hidden="false" customHeight="false" outlineLevel="0" collapsed="false">
      <c r="A381" s="17" t="s">
        <v>134</v>
      </c>
      <c r="B381" s="17" t="s">
        <v>123</v>
      </c>
      <c r="C381" s="17" t="s">
        <v>135</v>
      </c>
      <c r="D381" s="17" t="s">
        <v>1254</v>
      </c>
      <c r="E381" s="17" t="s">
        <v>1168</v>
      </c>
      <c r="F381" s="17" t="s">
        <v>1255</v>
      </c>
      <c r="G381" s="17" t="s">
        <v>1256</v>
      </c>
      <c r="H381" s="17" t="s">
        <v>1248</v>
      </c>
      <c r="I381" s="17" t="s">
        <v>1257</v>
      </c>
      <c r="J381" s="17" t="s">
        <v>1135</v>
      </c>
      <c r="K381" s="17" t="s">
        <v>1258</v>
      </c>
    </row>
    <row r="382" customFormat="false" ht="15" hidden="false" customHeight="false" outlineLevel="0" collapsed="false">
      <c r="A382" s="17" t="s">
        <v>134</v>
      </c>
      <c r="B382" s="17" t="s">
        <v>123</v>
      </c>
      <c r="C382" s="17" t="s">
        <v>135</v>
      </c>
      <c r="D382" s="17" t="s">
        <v>1254</v>
      </c>
      <c r="E382" s="17" t="s">
        <v>1168</v>
      </c>
      <c r="F382" s="17" t="s">
        <v>1255</v>
      </c>
      <c r="G382" s="17" t="s">
        <v>1256</v>
      </c>
      <c r="H382" s="17" t="s">
        <v>1248</v>
      </c>
      <c r="I382" s="17" t="s">
        <v>1259</v>
      </c>
      <c r="J382" s="17" t="s">
        <v>1135</v>
      </c>
      <c r="K382" s="17" t="s">
        <v>1260</v>
      </c>
    </row>
    <row r="383" customFormat="false" ht="22.35" hidden="false" customHeight="false" outlineLevel="0" collapsed="false">
      <c r="A383" s="17" t="s">
        <v>134</v>
      </c>
      <c r="B383" s="17" t="s">
        <v>123</v>
      </c>
      <c r="C383" s="17" t="s">
        <v>135</v>
      </c>
      <c r="D383" s="17" t="s">
        <v>1254</v>
      </c>
      <c r="E383" s="17" t="s">
        <v>1168</v>
      </c>
      <c r="F383" s="17" t="s">
        <v>1255</v>
      </c>
      <c r="G383" s="17" t="s">
        <v>1256</v>
      </c>
      <c r="H383" s="17" t="s">
        <v>1248</v>
      </c>
      <c r="I383" s="17" t="s">
        <v>1261</v>
      </c>
      <c r="J383" s="17" t="s">
        <v>1165</v>
      </c>
      <c r="K383" s="17" t="s">
        <v>1262</v>
      </c>
    </row>
    <row r="384" customFormat="false" ht="15" hidden="false" customHeight="false" outlineLevel="0" collapsed="false">
      <c r="A384" s="17" t="s">
        <v>134</v>
      </c>
      <c r="B384" s="17" t="s">
        <v>123</v>
      </c>
      <c r="C384" s="17" t="s">
        <v>135</v>
      </c>
      <c r="D384" s="17" t="s">
        <v>1416</v>
      </c>
      <c r="E384" s="17" t="s">
        <v>1168</v>
      </c>
      <c r="F384" s="17" t="s">
        <v>1255</v>
      </c>
      <c r="G384" s="17" t="s">
        <v>1417</v>
      </c>
      <c r="H384" s="17" t="s">
        <v>1248</v>
      </c>
      <c r="I384" s="17" t="s">
        <v>1171</v>
      </c>
      <c r="J384" s="17" t="s">
        <v>1135</v>
      </c>
      <c r="K384" s="17" t="s">
        <v>1172</v>
      </c>
    </row>
    <row r="385" customFormat="false" ht="15" hidden="false" customHeight="false" outlineLevel="0" collapsed="false">
      <c r="A385" s="17" t="s">
        <v>134</v>
      </c>
      <c r="B385" s="17" t="s">
        <v>123</v>
      </c>
      <c r="C385" s="17" t="s">
        <v>135</v>
      </c>
      <c r="D385" s="17" t="s">
        <v>1416</v>
      </c>
      <c r="E385" s="17" t="s">
        <v>1168</v>
      </c>
      <c r="F385" s="17" t="s">
        <v>1255</v>
      </c>
      <c r="G385" s="17" t="s">
        <v>1417</v>
      </c>
      <c r="H385" s="17" t="s">
        <v>1248</v>
      </c>
      <c r="I385" s="17" t="s">
        <v>1257</v>
      </c>
      <c r="J385" s="17" t="s">
        <v>1135</v>
      </c>
      <c r="K385" s="17" t="s">
        <v>1258</v>
      </c>
    </row>
    <row r="386" customFormat="false" ht="15" hidden="false" customHeight="false" outlineLevel="0" collapsed="false">
      <c r="A386" s="17" t="s">
        <v>134</v>
      </c>
      <c r="B386" s="17" t="s">
        <v>123</v>
      </c>
      <c r="C386" s="17" t="s">
        <v>135</v>
      </c>
      <c r="D386" s="17" t="s">
        <v>1416</v>
      </c>
      <c r="E386" s="17" t="s">
        <v>1168</v>
      </c>
      <c r="F386" s="17" t="s">
        <v>1255</v>
      </c>
      <c r="G386" s="17" t="s">
        <v>1417</v>
      </c>
      <c r="H386" s="17" t="s">
        <v>1248</v>
      </c>
      <c r="I386" s="17" t="s">
        <v>1259</v>
      </c>
      <c r="J386" s="17" t="s">
        <v>1135</v>
      </c>
      <c r="K386" s="17" t="s">
        <v>1260</v>
      </c>
    </row>
    <row r="387" customFormat="false" ht="22.35" hidden="false" customHeight="false" outlineLevel="0" collapsed="false">
      <c r="A387" s="17" t="s">
        <v>134</v>
      </c>
      <c r="B387" s="17" t="s">
        <v>123</v>
      </c>
      <c r="C387" s="17" t="s">
        <v>135</v>
      </c>
      <c r="D387" s="17" t="s">
        <v>1416</v>
      </c>
      <c r="E387" s="17" t="s">
        <v>1168</v>
      </c>
      <c r="F387" s="17" t="s">
        <v>1255</v>
      </c>
      <c r="G387" s="17" t="s">
        <v>1417</v>
      </c>
      <c r="H387" s="17" t="s">
        <v>1248</v>
      </c>
      <c r="I387" s="17" t="s">
        <v>1261</v>
      </c>
      <c r="J387" s="17" t="s">
        <v>1165</v>
      </c>
      <c r="K387" s="17" t="s">
        <v>1262</v>
      </c>
    </row>
    <row r="388" customFormat="false" ht="15" hidden="false" customHeight="false" outlineLevel="0" collapsed="false">
      <c r="A388" s="17" t="s">
        <v>134</v>
      </c>
      <c r="B388" s="17" t="s">
        <v>123</v>
      </c>
      <c r="C388" s="17" t="s">
        <v>135</v>
      </c>
      <c r="D388" s="17" t="s">
        <v>1418</v>
      </c>
      <c r="E388" s="17" t="s">
        <v>1168</v>
      </c>
      <c r="F388" s="17" t="s">
        <v>1255</v>
      </c>
      <c r="G388" s="17" t="s">
        <v>1419</v>
      </c>
      <c r="H388" s="17" t="s">
        <v>1248</v>
      </c>
      <c r="I388" s="17" t="s">
        <v>1171</v>
      </c>
      <c r="J388" s="17" t="s">
        <v>1135</v>
      </c>
      <c r="K388" s="17" t="s">
        <v>1172</v>
      </c>
    </row>
    <row r="389" customFormat="false" ht="15" hidden="false" customHeight="false" outlineLevel="0" collapsed="false">
      <c r="A389" s="17" t="s">
        <v>134</v>
      </c>
      <c r="B389" s="17" t="s">
        <v>123</v>
      </c>
      <c r="C389" s="17" t="s">
        <v>135</v>
      </c>
      <c r="D389" s="17" t="s">
        <v>1418</v>
      </c>
      <c r="E389" s="17" t="s">
        <v>1168</v>
      </c>
      <c r="F389" s="17" t="s">
        <v>1255</v>
      </c>
      <c r="G389" s="17" t="s">
        <v>1419</v>
      </c>
      <c r="H389" s="17" t="s">
        <v>1248</v>
      </c>
      <c r="I389" s="17" t="s">
        <v>1257</v>
      </c>
      <c r="J389" s="17" t="s">
        <v>1135</v>
      </c>
      <c r="K389" s="17" t="s">
        <v>1258</v>
      </c>
    </row>
    <row r="390" customFormat="false" ht="15" hidden="false" customHeight="false" outlineLevel="0" collapsed="false">
      <c r="A390" s="17" t="s">
        <v>134</v>
      </c>
      <c r="B390" s="17" t="s">
        <v>123</v>
      </c>
      <c r="C390" s="17" t="s">
        <v>135</v>
      </c>
      <c r="D390" s="17" t="s">
        <v>1418</v>
      </c>
      <c r="E390" s="17" t="s">
        <v>1168</v>
      </c>
      <c r="F390" s="17" t="s">
        <v>1255</v>
      </c>
      <c r="G390" s="17" t="s">
        <v>1419</v>
      </c>
      <c r="H390" s="17" t="s">
        <v>1248</v>
      </c>
      <c r="I390" s="17" t="s">
        <v>1259</v>
      </c>
      <c r="J390" s="17" t="s">
        <v>1135</v>
      </c>
      <c r="K390" s="17" t="s">
        <v>1260</v>
      </c>
    </row>
    <row r="391" customFormat="false" ht="22.35" hidden="false" customHeight="false" outlineLevel="0" collapsed="false">
      <c r="A391" s="17" t="s">
        <v>134</v>
      </c>
      <c r="B391" s="17" t="s">
        <v>123</v>
      </c>
      <c r="C391" s="17" t="s">
        <v>135</v>
      </c>
      <c r="D391" s="17" t="s">
        <v>1418</v>
      </c>
      <c r="E391" s="17" t="s">
        <v>1168</v>
      </c>
      <c r="F391" s="17" t="s">
        <v>1255</v>
      </c>
      <c r="G391" s="17" t="s">
        <v>1419</v>
      </c>
      <c r="H391" s="17" t="s">
        <v>1248</v>
      </c>
      <c r="I391" s="17" t="s">
        <v>1261</v>
      </c>
      <c r="J391" s="17" t="s">
        <v>1165</v>
      </c>
      <c r="K391" s="17" t="s">
        <v>1262</v>
      </c>
    </row>
    <row r="392" customFormat="false" ht="15" hidden="false" customHeight="false" outlineLevel="0" collapsed="false">
      <c r="A392" s="17" t="s">
        <v>134</v>
      </c>
      <c r="B392" s="17" t="s">
        <v>123</v>
      </c>
      <c r="C392" s="17" t="s">
        <v>135</v>
      </c>
      <c r="D392" s="17" t="s">
        <v>1418</v>
      </c>
      <c r="E392" s="17" t="s">
        <v>1168</v>
      </c>
      <c r="F392" s="17" t="s">
        <v>1255</v>
      </c>
      <c r="G392" s="17" t="s">
        <v>1419</v>
      </c>
      <c r="H392" s="17" t="s">
        <v>1248</v>
      </c>
      <c r="I392" s="17" t="s">
        <v>1187</v>
      </c>
      <c r="J392" s="17" t="s">
        <v>1135</v>
      </c>
      <c r="K392" s="17" t="s">
        <v>1188</v>
      </c>
    </row>
    <row r="393" customFormat="false" ht="15" hidden="false" customHeight="false" outlineLevel="0" collapsed="false">
      <c r="A393" s="17" t="s">
        <v>134</v>
      </c>
      <c r="B393" s="17" t="s">
        <v>123</v>
      </c>
      <c r="C393" s="17" t="s">
        <v>135</v>
      </c>
      <c r="D393" s="17" t="s">
        <v>1420</v>
      </c>
      <c r="E393" s="17" t="s">
        <v>1168</v>
      </c>
      <c r="F393" s="17" t="s">
        <v>1255</v>
      </c>
      <c r="G393" s="17" t="s">
        <v>1421</v>
      </c>
      <c r="H393" s="17" t="s">
        <v>1248</v>
      </c>
      <c r="I393" s="17" t="s">
        <v>1171</v>
      </c>
      <c r="J393" s="17" t="s">
        <v>1135</v>
      </c>
      <c r="K393" s="17" t="s">
        <v>1172</v>
      </c>
    </row>
    <row r="394" customFormat="false" ht="15" hidden="false" customHeight="false" outlineLevel="0" collapsed="false">
      <c r="A394" s="17" t="s">
        <v>134</v>
      </c>
      <c r="B394" s="17" t="s">
        <v>123</v>
      </c>
      <c r="C394" s="17" t="s">
        <v>135</v>
      </c>
      <c r="D394" s="17" t="s">
        <v>1420</v>
      </c>
      <c r="E394" s="17" t="s">
        <v>1168</v>
      </c>
      <c r="F394" s="17" t="s">
        <v>1255</v>
      </c>
      <c r="G394" s="17" t="s">
        <v>1421</v>
      </c>
      <c r="H394" s="17" t="s">
        <v>1248</v>
      </c>
      <c r="I394" s="17" t="s">
        <v>1257</v>
      </c>
      <c r="J394" s="17" t="s">
        <v>1135</v>
      </c>
      <c r="K394" s="17" t="s">
        <v>1258</v>
      </c>
    </row>
    <row r="395" customFormat="false" ht="15" hidden="false" customHeight="false" outlineLevel="0" collapsed="false">
      <c r="A395" s="17" t="s">
        <v>134</v>
      </c>
      <c r="B395" s="17" t="s">
        <v>123</v>
      </c>
      <c r="C395" s="17" t="s">
        <v>135</v>
      </c>
      <c r="D395" s="17" t="s">
        <v>1420</v>
      </c>
      <c r="E395" s="17" t="s">
        <v>1168</v>
      </c>
      <c r="F395" s="17" t="s">
        <v>1255</v>
      </c>
      <c r="G395" s="17" t="s">
        <v>1421</v>
      </c>
      <c r="H395" s="17" t="s">
        <v>1248</v>
      </c>
      <c r="I395" s="17" t="s">
        <v>1259</v>
      </c>
      <c r="J395" s="17" t="s">
        <v>1135</v>
      </c>
      <c r="K395" s="17" t="s">
        <v>1260</v>
      </c>
    </row>
    <row r="396" customFormat="false" ht="22.35" hidden="false" customHeight="false" outlineLevel="0" collapsed="false">
      <c r="A396" s="17" t="s">
        <v>134</v>
      </c>
      <c r="B396" s="17" t="s">
        <v>123</v>
      </c>
      <c r="C396" s="17" t="s">
        <v>135</v>
      </c>
      <c r="D396" s="17" t="s">
        <v>1420</v>
      </c>
      <c r="E396" s="17" t="s">
        <v>1168</v>
      </c>
      <c r="F396" s="17" t="s">
        <v>1255</v>
      </c>
      <c r="G396" s="17" t="s">
        <v>1421</v>
      </c>
      <c r="H396" s="17" t="s">
        <v>1248</v>
      </c>
      <c r="I396" s="17" t="s">
        <v>1261</v>
      </c>
      <c r="J396" s="17" t="s">
        <v>1165</v>
      </c>
      <c r="K396" s="17" t="s">
        <v>1262</v>
      </c>
    </row>
    <row r="397" customFormat="false" ht="22.35" hidden="false" customHeight="false" outlineLevel="0" collapsed="false">
      <c r="A397" s="17" t="s">
        <v>134</v>
      </c>
      <c r="B397" s="17" t="s">
        <v>123</v>
      </c>
      <c r="C397" s="17" t="s">
        <v>135</v>
      </c>
      <c r="D397" s="17" t="s">
        <v>1420</v>
      </c>
      <c r="E397" s="17" t="s">
        <v>1168</v>
      </c>
      <c r="F397" s="17" t="s">
        <v>1255</v>
      </c>
      <c r="G397" s="17" t="s">
        <v>1421</v>
      </c>
      <c r="H397" s="17" t="s">
        <v>1248</v>
      </c>
      <c r="I397" s="17" t="s">
        <v>1157</v>
      </c>
      <c r="J397" s="17" t="s">
        <v>1135</v>
      </c>
      <c r="K397" s="17" t="s">
        <v>1158</v>
      </c>
    </row>
    <row r="398" customFormat="false" ht="22.35" hidden="false" customHeight="false" outlineLevel="0" collapsed="false">
      <c r="A398" s="17" t="s">
        <v>134</v>
      </c>
      <c r="B398" s="17" t="s">
        <v>123</v>
      </c>
      <c r="C398" s="17" t="s">
        <v>135</v>
      </c>
      <c r="D398" s="17" t="s">
        <v>1422</v>
      </c>
      <c r="E398" s="17" t="s">
        <v>1168</v>
      </c>
      <c r="F398" s="17" t="s">
        <v>1423</v>
      </c>
      <c r="G398" s="17" t="s">
        <v>1424</v>
      </c>
      <c r="H398" s="17" t="s">
        <v>1251</v>
      </c>
      <c r="I398" s="17" t="s">
        <v>1259</v>
      </c>
      <c r="J398" s="17" t="s">
        <v>1135</v>
      </c>
      <c r="K398" s="17" t="s">
        <v>1260</v>
      </c>
    </row>
    <row r="399" customFormat="false" ht="22.35" hidden="false" customHeight="false" outlineLevel="0" collapsed="false">
      <c r="A399" s="17" t="s">
        <v>134</v>
      </c>
      <c r="B399" s="17" t="s">
        <v>123</v>
      </c>
      <c r="C399" s="17" t="s">
        <v>135</v>
      </c>
      <c r="D399" s="17" t="s">
        <v>1422</v>
      </c>
      <c r="E399" s="17" t="s">
        <v>1168</v>
      </c>
      <c r="F399" s="17" t="s">
        <v>1423</v>
      </c>
      <c r="G399" s="17" t="s">
        <v>1424</v>
      </c>
      <c r="H399" s="17" t="s">
        <v>1251</v>
      </c>
      <c r="I399" s="17" t="s">
        <v>1425</v>
      </c>
      <c r="J399" s="17" t="s">
        <v>1426</v>
      </c>
      <c r="K399" s="17" t="s">
        <v>1427</v>
      </c>
    </row>
    <row r="400" customFormat="false" ht="22.35" hidden="false" customHeight="false" outlineLevel="0" collapsed="false">
      <c r="A400" s="17" t="s">
        <v>138</v>
      </c>
      <c r="B400" s="17" t="s">
        <v>123</v>
      </c>
      <c r="C400" s="17" t="s">
        <v>139</v>
      </c>
      <c r="D400" s="17" t="s">
        <v>1428</v>
      </c>
      <c r="E400" s="17" t="s">
        <v>1168</v>
      </c>
      <c r="F400" s="17" t="s">
        <v>1429</v>
      </c>
      <c r="G400" s="17" t="s">
        <v>1430</v>
      </c>
      <c r="H400" s="17" t="s">
        <v>1251</v>
      </c>
      <c r="I400" s="17" t="s">
        <v>1171</v>
      </c>
      <c r="J400" s="17" t="s">
        <v>1135</v>
      </c>
      <c r="K400" s="17" t="s">
        <v>1172</v>
      </c>
    </row>
    <row r="401" customFormat="false" ht="22.35" hidden="false" customHeight="false" outlineLevel="0" collapsed="false">
      <c r="A401" s="17" t="s">
        <v>138</v>
      </c>
      <c r="B401" s="17" t="s">
        <v>123</v>
      </c>
      <c r="C401" s="17" t="s">
        <v>139</v>
      </c>
      <c r="D401" s="17" t="s">
        <v>1428</v>
      </c>
      <c r="E401" s="17" t="s">
        <v>1168</v>
      </c>
      <c r="F401" s="17" t="s">
        <v>1429</v>
      </c>
      <c r="G401" s="17" t="s">
        <v>1430</v>
      </c>
      <c r="H401" s="17" t="s">
        <v>1251</v>
      </c>
      <c r="I401" s="17" t="s">
        <v>1259</v>
      </c>
      <c r="J401" s="17" t="s">
        <v>1135</v>
      </c>
      <c r="K401" s="17" t="s">
        <v>1260</v>
      </c>
    </row>
    <row r="402" customFormat="false" ht="22.35" hidden="false" customHeight="false" outlineLevel="0" collapsed="false">
      <c r="A402" s="17" t="s">
        <v>138</v>
      </c>
      <c r="B402" s="17" t="s">
        <v>123</v>
      </c>
      <c r="C402" s="17" t="s">
        <v>139</v>
      </c>
      <c r="D402" s="17" t="s">
        <v>1428</v>
      </c>
      <c r="E402" s="17" t="s">
        <v>1168</v>
      </c>
      <c r="F402" s="17" t="s">
        <v>1429</v>
      </c>
      <c r="G402" s="17" t="s">
        <v>1430</v>
      </c>
      <c r="H402" s="17" t="s">
        <v>1251</v>
      </c>
      <c r="I402" s="17" t="s">
        <v>1285</v>
      </c>
      <c r="J402" s="17" t="s">
        <v>1165</v>
      </c>
      <c r="K402" s="17" t="s">
        <v>1286</v>
      </c>
    </row>
    <row r="403" customFormat="false" ht="15" hidden="false" customHeight="false" outlineLevel="0" collapsed="false">
      <c r="A403" s="17" t="s">
        <v>138</v>
      </c>
      <c r="B403" s="17" t="s">
        <v>123</v>
      </c>
      <c r="C403" s="17" t="s">
        <v>139</v>
      </c>
      <c r="D403" s="17" t="s">
        <v>1249</v>
      </c>
      <c r="E403" s="17" t="s">
        <v>1168</v>
      </c>
      <c r="F403" s="17" t="s">
        <v>1169</v>
      </c>
      <c r="G403" s="17" t="s">
        <v>1250</v>
      </c>
      <c r="H403" s="17" t="s">
        <v>1251</v>
      </c>
      <c r="I403" s="17" t="s">
        <v>1171</v>
      </c>
      <c r="J403" s="17" t="s">
        <v>1135</v>
      </c>
      <c r="K403" s="17" t="s">
        <v>1172</v>
      </c>
    </row>
    <row r="404" customFormat="false" ht="15" hidden="false" customHeight="false" outlineLevel="0" collapsed="false">
      <c r="A404" s="17" t="s">
        <v>138</v>
      </c>
      <c r="B404" s="17" t="s">
        <v>123</v>
      </c>
      <c r="C404" s="17" t="s">
        <v>139</v>
      </c>
      <c r="D404" s="17" t="s">
        <v>1249</v>
      </c>
      <c r="E404" s="17" t="s">
        <v>1168</v>
      </c>
      <c r="F404" s="17" t="s">
        <v>1169</v>
      </c>
      <c r="G404" s="17" t="s">
        <v>1250</v>
      </c>
      <c r="H404" s="17" t="s">
        <v>1251</v>
      </c>
      <c r="I404" s="17" t="s">
        <v>1173</v>
      </c>
      <c r="J404" s="17" t="s">
        <v>1135</v>
      </c>
      <c r="K404" s="17" t="s">
        <v>1174</v>
      </c>
    </row>
    <row r="405" customFormat="false" ht="15" hidden="false" customHeight="false" outlineLevel="0" collapsed="false">
      <c r="A405" s="17" t="s">
        <v>138</v>
      </c>
      <c r="B405" s="17" t="s">
        <v>123</v>
      </c>
      <c r="C405" s="17" t="s">
        <v>139</v>
      </c>
      <c r="D405" s="17" t="s">
        <v>1249</v>
      </c>
      <c r="E405" s="17" t="s">
        <v>1168</v>
      </c>
      <c r="F405" s="17" t="s">
        <v>1169</v>
      </c>
      <c r="G405" s="17" t="s">
        <v>1250</v>
      </c>
      <c r="H405" s="17" t="s">
        <v>1251</v>
      </c>
      <c r="I405" s="17" t="s">
        <v>1175</v>
      </c>
      <c r="J405" s="17" t="s">
        <v>1135</v>
      </c>
      <c r="K405" s="17" t="s">
        <v>1176</v>
      </c>
    </row>
    <row r="406" customFormat="false" ht="15" hidden="false" customHeight="false" outlineLevel="0" collapsed="false">
      <c r="A406" s="17" t="s">
        <v>138</v>
      </c>
      <c r="B406" s="17" t="s">
        <v>123</v>
      </c>
      <c r="C406" s="17" t="s">
        <v>139</v>
      </c>
      <c r="D406" s="17" t="s">
        <v>1249</v>
      </c>
      <c r="E406" s="17" t="s">
        <v>1168</v>
      </c>
      <c r="F406" s="17" t="s">
        <v>1169</v>
      </c>
      <c r="G406" s="17" t="s">
        <v>1250</v>
      </c>
      <c r="H406" s="17" t="s">
        <v>1251</v>
      </c>
      <c r="I406" s="17" t="s">
        <v>1177</v>
      </c>
      <c r="J406" s="17" t="s">
        <v>1165</v>
      </c>
      <c r="K406" s="17" t="s">
        <v>1178</v>
      </c>
    </row>
    <row r="407" customFormat="false" ht="15" hidden="false" customHeight="false" outlineLevel="0" collapsed="false">
      <c r="A407" s="17" t="s">
        <v>138</v>
      </c>
      <c r="B407" s="17" t="s">
        <v>123</v>
      </c>
      <c r="C407" s="17" t="s">
        <v>139</v>
      </c>
      <c r="D407" s="17" t="s">
        <v>1249</v>
      </c>
      <c r="E407" s="17" t="s">
        <v>1168</v>
      </c>
      <c r="F407" s="17" t="s">
        <v>1169</v>
      </c>
      <c r="G407" s="17" t="s">
        <v>1250</v>
      </c>
      <c r="H407" s="17" t="s">
        <v>1251</v>
      </c>
      <c r="I407" s="17" t="s">
        <v>1179</v>
      </c>
      <c r="J407" s="17" t="s">
        <v>1165</v>
      </c>
      <c r="K407" s="17" t="s">
        <v>1180</v>
      </c>
    </row>
  </sheetData>
  <autoFilter ref="A4:K40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4"/>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44"/>
    <col collapsed="false" customWidth="true" hidden="false" outlineLevel="0" max="3" min="3" style="0" width="16"/>
    <col collapsed="false" customWidth="true" hidden="false" outlineLevel="0" max="4" min="4" style="0" width="18"/>
  </cols>
  <sheetData>
    <row r="1" customFormat="false" ht="17.35" hidden="false" customHeight="false" outlineLevel="0" collapsed="false">
      <c r="A1" s="1" t="s">
        <v>1431</v>
      </c>
    </row>
    <row r="4" customFormat="false" ht="15" hidden="false" customHeight="false" outlineLevel="0" collapsed="false">
      <c r="A4" s="5" t="s">
        <v>23</v>
      </c>
      <c r="B4" s="5" t="s">
        <v>1432</v>
      </c>
      <c r="C4" s="5" t="s">
        <v>944</v>
      </c>
      <c r="D4" s="5" t="s">
        <v>1433</v>
      </c>
    </row>
    <row r="5" customFormat="false" ht="15" hidden="false" customHeight="false" outlineLevel="0" collapsed="false">
      <c r="A5" s="22" t="s">
        <v>29</v>
      </c>
      <c r="B5" s="22" t="s">
        <v>30</v>
      </c>
      <c r="C5" s="22" t="n">
        <f aca="false">COUNTIF('Scenario Catalogue'!$B$5:$B$32,A5)</f>
        <v>4</v>
      </c>
      <c r="D5" s="22" t="n">
        <f aca="false">SUMIF('Scenario Catalogue'!$B$5:$B$32,A5,'Scenario Catalogue'!$T$5:$T$32)</f>
        <v>97</v>
      </c>
    </row>
    <row r="6" customFormat="false" ht="15" hidden="false" customHeight="false" outlineLevel="0" collapsed="false">
      <c r="A6" s="22" t="s">
        <v>48</v>
      </c>
      <c r="B6" s="22" t="s">
        <v>49</v>
      </c>
      <c r="C6" s="22" t="n">
        <f aca="false">COUNTIF('Scenario Catalogue'!$B$5:$B$32,A6)</f>
        <v>7</v>
      </c>
      <c r="D6" s="22" t="n">
        <f aca="false">SUMIF('Scenario Catalogue'!$B$5:$B$32,A6,'Scenario Catalogue'!$T$5:$T$32)</f>
        <v>90</v>
      </c>
    </row>
    <row r="7" customFormat="false" ht="15" hidden="false" customHeight="false" outlineLevel="0" collapsed="false">
      <c r="A7" s="22" t="s">
        <v>73</v>
      </c>
      <c r="B7" s="22" t="s">
        <v>74</v>
      </c>
      <c r="C7" s="22" t="n">
        <f aca="false">COUNTIF('Scenario Catalogue'!$B$5:$B$32,A7)</f>
        <v>3</v>
      </c>
      <c r="D7" s="22" t="n">
        <f aca="false">SUMIF('Scenario Catalogue'!$B$5:$B$32,A7,'Scenario Catalogue'!$T$5:$T$32)</f>
        <v>56</v>
      </c>
    </row>
    <row r="8" customFormat="false" ht="15" hidden="false" customHeight="false" outlineLevel="0" collapsed="false">
      <c r="A8" s="22" t="s">
        <v>86</v>
      </c>
      <c r="B8" s="22" t="s">
        <v>87</v>
      </c>
      <c r="C8" s="22" t="n">
        <f aca="false">COUNTIF('Scenario Catalogue'!$B$5:$B$32,A8)</f>
        <v>8</v>
      </c>
      <c r="D8" s="22" t="n">
        <f aca="false">SUMIF('Scenario Catalogue'!$B$5:$B$32,A8,'Scenario Catalogue'!$T$5:$T$32)</f>
        <v>129</v>
      </c>
    </row>
    <row r="9" customFormat="false" ht="15" hidden="false" customHeight="false" outlineLevel="0" collapsed="false">
      <c r="A9" s="22" t="s">
        <v>114</v>
      </c>
      <c r="B9" s="22" t="s">
        <v>115</v>
      </c>
      <c r="C9" s="22" t="n">
        <f aca="false">COUNTIF('Scenario Catalogue'!$B$5:$B$32,A9)</f>
        <v>2</v>
      </c>
      <c r="D9" s="22" t="n">
        <f aca="false">SUMIF('Scenario Catalogue'!$B$5:$B$32,A9,'Scenario Catalogue'!$T$5:$T$32)</f>
        <v>35</v>
      </c>
    </row>
    <row r="10" customFormat="false" ht="15" hidden="false" customHeight="false" outlineLevel="0" collapsed="false">
      <c r="A10" s="22" t="s">
        <v>123</v>
      </c>
      <c r="B10" s="22" t="s">
        <v>124</v>
      </c>
      <c r="C10" s="22" t="n">
        <f aca="false">COUNTIF('Scenario Catalogue'!$B$5:$B$32,A10)</f>
        <v>4</v>
      </c>
      <c r="D10" s="22" t="n">
        <f aca="false">SUMIF('Scenario Catalogue'!$B$5:$B$32,A10,'Scenario Catalogue'!$T$5:$T$32)</f>
        <v>44</v>
      </c>
    </row>
    <row r="11" customFormat="false" ht="15" hidden="false" customHeight="false" outlineLevel="0" collapsed="false">
      <c r="B11" s="22" t="s">
        <v>1434</v>
      </c>
      <c r="C11" s="22" t="n">
        <f aca="false">SUM(C5:C10)</f>
        <v>28</v>
      </c>
      <c r="D11" s="22" t="n">
        <f aca="false">SUM(D5:D10)</f>
        <v>451</v>
      </c>
    </row>
    <row r="13" customFormat="false" ht="15" hidden="false" customHeight="false" outlineLevel="0" collapsed="false">
      <c r="A13" s="5" t="s">
        <v>1435</v>
      </c>
      <c r="B13" s="5" t="s">
        <v>1436</v>
      </c>
      <c r="C13" s="5" t="s">
        <v>1437</v>
      </c>
    </row>
    <row r="14" customFormat="false" ht="15" hidden="false" customHeight="false" outlineLevel="0" collapsed="false">
      <c r="A14" s="22" t="s">
        <v>1438</v>
      </c>
      <c r="B14" s="22" t="n">
        <f aca="false">COUNTA('HIRE Traceability'!A5:A65)</f>
        <v>61</v>
      </c>
      <c r="C14" s="22" t="s">
        <v>1439</v>
      </c>
    </row>
    <row r="15" customFormat="false" ht="15" hidden="false" customHeight="false" outlineLevel="0" collapsed="false">
      <c r="A15" s="22" t="s">
        <v>1440</v>
      </c>
      <c r="B15" s="22" t="n">
        <f aca="false">COUNTIF('HIRE Traceability'!M5:M65,"&gt;0")</f>
        <v>61</v>
      </c>
      <c r="C15" s="22" t="s">
        <v>1441</v>
      </c>
    </row>
    <row r="16" customFormat="false" ht="15" hidden="false" customHeight="false" outlineLevel="0" collapsed="false">
      <c r="A16" s="22" t="s">
        <v>1442</v>
      </c>
      <c r="B16" s="22" t="n">
        <f aca="false">COUNTIF('HIRE Traceability'!M5:M65,0)</f>
        <v>0</v>
      </c>
      <c r="C16" s="22" t="s">
        <v>1443</v>
      </c>
    </row>
    <row r="17" customFormat="false" ht="15" hidden="false" customHeight="false" outlineLevel="0" collapsed="false">
      <c r="A17" s="22" t="s">
        <v>1444</v>
      </c>
      <c r="B17" s="22" t="n">
        <f aca="false">COUNTA('Scenario x TC x FI'!A5:A407)</f>
        <v>403</v>
      </c>
      <c r="C17" s="22"/>
    </row>
    <row r="18" customFormat="false" ht="15" hidden="false" customHeight="false" outlineLevel="0" collapsed="false">
      <c r="A18" s="22" t="s">
        <v>1445</v>
      </c>
      <c r="B18" s="22" t="n">
        <v>87</v>
      </c>
      <c r="C18" s="22" t="s">
        <v>1446</v>
      </c>
    </row>
    <row r="19" customFormat="false" ht="15" hidden="false" customHeight="false" outlineLevel="0" collapsed="false">
      <c r="A19" s="22" t="s">
        <v>1447</v>
      </c>
      <c r="B19" s="22" t="n">
        <v>32</v>
      </c>
      <c r="C19" s="22" t="s">
        <v>1448</v>
      </c>
    </row>
    <row r="20" customFormat="false" ht="15" hidden="false" customHeight="false" outlineLevel="0" collapsed="false">
      <c r="A20" s="22" t="s">
        <v>1449</v>
      </c>
      <c r="B20" s="22" t="n">
        <f aca="false">COUNTIF('Scenario Catalogue'!R5:R32,"In-ODD*")</f>
        <v>25</v>
      </c>
      <c r="C20" s="22"/>
    </row>
    <row r="21" customFormat="false" ht="15" hidden="false" customHeight="false" outlineLevel="0" collapsed="false">
      <c r="A21" s="22" t="s">
        <v>1450</v>
      </c>
      <c r="B21" s="22" t="n">
        <f aca="false">COUNTIF('Scenario Catalogue'!R5:R32,"*Out-of-ODD*")</f>
        <v>5</v>
      </c>
      <c r="C21" s="22"/>
    </row>
    <row r="22" customFormat="false" ht="15" hidden="false" customHeight="false" outlineLevel="0" collapsed="false">
      <c r="A22" s="22" t="s">
        <v>1451</v>
      </c>
      <c r="B22" s="22" t="n">
        <f aca="false">COUNTIF(Parameters!E5:E26,"GAP")</f>
        <v>6</v>
      </c>
      <c r="C22" s="22"/>
    </row>
    <row r="24" customFormat="false" ht="15" hidden="false" customHeight="false" outlineLevel="0" collapsed="false">
      <c r="A24" s="23" t="s">
        <v>1452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1"/>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20"/>
    <col collapsed="false" customWidth="true" hidden="false" outlineLevel="0" max="3" min="3" style="0" width="90"/>
    <col collapsed="false" customWidth="true" hidden="false" outlineLevel="0" max="4" min="4" style="0" width="70"/>
  </cols>
  <sheetData>
    <row r="1" customFormat="false" ht="17.35" hidden="false" customHeight="false" outlineLevel="0" collapsed="false">
      <c r="A1" s="1" t="s">
        <v>1453</v>
      </c>
    </row>
    <row r="4" customFormat="false" ht="15" hidden="false" customHeight="false" outlineLevel="0" collapsed="false">
      <c r="A4" s="5" t="s">
        <v>24</v>
      </c>
      <c r="B4" s="5" t="s">
        <v>1454</v>
      </c>
      <c r="C4" s="5" t="s">
        <v>1455</v>
      </c>
      <c r="D4" s="5" t="s">
        <v>1456</v>
      </c>
    </row>
    <row r="5" customFormat="false" ht="22.35" hidden="false" customHeight="false" outlineLevel="0" collapsed="false">
      <c r="A5" s="18" t="s">
        <v>1457</v>
      </c>
      <c r="B5" s="18" t="s">
        <v>1458</v>
      </c>
      <c r="C5" s="18" t="s">
        <v>1459</v>
      </c>
      <c r="D5" s="18" t="s">
        <v>1460</v>
      </c>
    </row>
    <row r="6" customFormat="false" ht="22.35" hidden="false" customHeight="false" outlineLevel="0" collapsed="false">
      <c r="A6" s="18" t="s">
        <v>1461</v>
      </c>
      <c r="B6" s="18" t="s">
        <v>1462</v>
      </c>
      <c r="C6" s="18" t="s">
        <v>1463</v>
      </c>
      <c r="D6" s="18" t="s">
        <v>1464</v>
      </c>
    </row>
    <row r="7" customFormat="false" ht="22.35" hidden="false" customHeight="false" outlineLevel="0" collapsed="false">
      <c r="A7" s="18" t="s">
        <v>1465</v>
      </c>
      <c r="B7" s="18" t="s">
        <v>1466</v>
      </c>
      <c r="C7" s="18" t="s">
        <v>1467</v>
      </c>
      <c r="D7" s="18" t="s">
        <v>1468</v>
      </c>
    </row>
    <row r="8" customFormat="false" ht="22.35" hidden="false" customHeight="false" outlineLevel="0" collapsed="false">
      <c r="A8" s="18" t="s">
        <v>1469</v>
      </c>
      <c r="B8" s="18" t="s">
        <v>1470</v>
      </c>
      <c r="C8" s="18" t="s">
        <v>1471</v>
      </c>
      <c r="D8" s="18" t="s">
        <v>1472</v>
      </c>
    </row>
    <row r="9" customFormat="false" ht="32.8" hidden="false" customHeight="false" outlineLevel="0" collapsed="false">
      <c r="A9" s="18" t="s">
        <v>1473</v>
      </c>
      <c r="B9" s="18" t="s">
        <v>1474</v>
      </c>
      <c r="C9" s="18" t="s">
        <v>1475</v>
      </c>
      <c r="D9" s="18" t="s">
        <v>1476</v>
      </c>
    </row>
    <row r="10" customFormat="false" ht="22.35" hidden="false" customHeight="false" outlineLevel="0" collapsed="false">
      <c r="A10" s="18" t="s">
        <v>1477</v>
      </c>
      <c r="B10" s="18" t="s">
        <v>1478</v>
      </c>
      <c r="C10" s="18" t="s">
        <v>1479</v>
      </c>
      <c r="D10" s="18" t="s">
        <v>1480</v>
      </c>
    </row>
    <row r="11" customFormat="false" ht="22.35" hidden="false" customHeight="false" outlineLevel="0" collapsed="false">
      <c r="A11" s="18" t="s">
        <v>1481</v>
      </c>
      <c r="B11" s="18" t="s">
        <v>1482</v>
      </c>
      <c r="C11" s="18" t="s">
        <v>1483</v>
      </c>
      <c r="D11" s="18" t="s">
        <v>1484</v>
      </c>
    </row>
  </sheetData>
  <autoFilter ref="A4:D1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2026-10-07T12:41:43Z</dcterms:created>
  <dc:creator>openpyxl</dc:creator>
  <dc:description/>
  <dc:language>en-US</dc:language>
  <cp:lastModifiedBy/>
  <dcterms:modified xsi:type="dcterms:W3CDTF">2026-10-07T12:41:44Z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