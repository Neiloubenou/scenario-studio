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f42fd20111326e8/Documents/Claude/Projects/SERYTI TORC Robotics/"/>
    </mc:Choice>
  </mc:AlternateContent>
  <xr:revisionPtr revIDLastSave="10" documentId="11_864357262C88B5005D6AC4277914B8183D202AC0" xr6:coauthVersionLast="47" xr6:coauthVersionMax="47" xr10:uidLastSave="{3DCE0877-09D9-4488-88E7-D9C7BE174411}"/>
  <bookViews>
    <workbookView xWindow="-98" yWindow="-98" windowWidth="21795" windowHeight="13875" tabRatio="761" firstSheet="12" activeTab="17" xr2:uid="{00000000-000D-0000-FFFF-FFFF00000000}"/>
  </bookViews>
  <sheets>
    <sheet name="Cover" sheetId="1" r:id="rId1"/>
    <sheet name="Actor Layer" sheetId="2" r:id="rId2"/>
    <sheet name="Scenario Catalog" sheetId="3" r:id="rId3"/>
    <sheet name="Kinematic Calc" sheetId="4" r:id="rId4"/>
    <sheet name="Headway Envelope" sheetId="5" r:id="rId5"/>
    <sheet name="Sensitivity" sheetId="6" r:id="rId6"/>
    <sheet name="Parameter Matrix" sheetId="7" r:id="rId7"/>
    <sheet name="ODD Mapping" sheetId="8" r:id="rId8"/>
    <sheet name="OCC Requirements" sheetId="9" r:id="rId9"/>
    <sheet name="Traceability" sheetId="10" r:id="rId10"/>
    <sheet name="TRF Scenario Catalog" sheetId="11" r:id="rId11"/>
    <sheet name="TRF Requirements" sheetId="12" r:id="rId12"/>
    <sheet name="TRF Parameter Matrix" sheetId="13" r:id="rId13"/>
    <sheet name="TRF ODD Mapping" sheetId="14" r:id="rId14"/>
    <sheet name="SIG Scenario Catalog" sheetId="15" r:id="rId15"/>
    <sheet name="SIG Requirements" sheetId="16" r:id="rId16"/>
    <sheet name="SIG Parameter Matrix" sheetId="17" r:id="rId17"/>
    <sheet name="SIG ODD Mapping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6" l="1"/>
  <c r="B15" i="6"/>
  <c r="D15" i="6" s="1"/>
  <c r="C14" i="6"/>
  <c r="B14" i="6"/>
  <c r="D14" i="6" s="1"/>
  <c r="E14" i="6" s="1"/>
  <c r="C13" i="6"/>
  <c r="B13" i="6"/>
  <c r="D13" i="6" s="1"/>
  <c r="C12" i="6"/>
  <c r="B12" i="6"/>
  <c r="D12" i="6" s="1"/>
  <c r="E12" i="6" s="1"/>
  <c r="C11" i="6"/>
  <c r="B11" i="6"/>
  <c r="D11" i="6" s="1"/>
  <c r="B8" i="6"/>
  <c r="E15" i="6" s="1"/>
  <c r="B7" i="6"/>
  <c r="F26" i="5"/>
  <c r="B26" i="5"/>
  <c r="C26" i="5" s="1"/>
  <c r="B25" i="5"/>
  <c r="I25" i="5" s="1"/>
  <c r="B24" i="5"/>
  <c r="F23" i="5"/>
  <c r="B23" i="5"/>
  <c r="C23" i="5" s="1"/>
  <c r="B22" i="5"/>
  <c r="I22" i="5" s="1"/>
  <c r="B21" i="5"/>
  <c r="F20" i="5"/>
  <c r="B20" i="5"/>
  <c r="C20" i="5" s="1"/>
  <c r="B19" i="5"/>
  <c r="I19" i="5" s="1"/>
  <c r="B18" i="5"/>
  <c r="F17" i="5"/>
  <c r="B17" i="5"/>
  <c r="C17" i="5" s="1"/>
  <c r="B16" i="5"/>
  <c r="I16" i="5" s="1"/>
  <c r="B15" i="5"/>
  <c r="F14" i="5"/>
  <c r="B14" i="5"/>
  <c r="C14" i="5" s="1"/>
  <c r="B13" i="5"/>
  <c r="I13" i="5" s="1"/>
  <c r="B10" i="5"/>
  <c r="I26" i="5" s="1"/>
  <c r="B9" i="5"/>
  <c r="D26" i="5" s="1"/>
  <c r="E26" i="5" s="1"/>
  <c r="B8" i="5"/>
  <c r="B6" i="5"/>
  <c r="B5" i="5"/>
  <c r="B4" i="5"/>
  <c r="B23" i="4"/>
  <c r="B24" i="4" s="1"/>
  <c r="B18" i="4"/>
  <c r="B15" i="4"/>
  <c r="B19" i="4" s="1"/>
  <c r="B14" i="4"/>
  <c r="B13" i="4"/>
  <c r="B10" i="4"/>
  <c r="B9" i="4"/>
  <c r="F15" i="6" l="1"/>
  <c r="F12" i="6"/>
  <c r="B27" i="4"/>
  <c r="B28" i="4" s="1"/>
  <c r="B20" i="4"/>
  <c r="G14" i="6"/>
  <c r="F14" i="6"/>
  <c r="I15" i="5"/>
  <c r="I18" i="5"/>
  <c r="I21" i="5"/>
  <c r="I24" i="5"/>
  <c r="C13" i="5"/>
  <c r="G14" i="5"/>
  <c r="H14" i="5" s="1"/>
  <c r="C16" i="5"/>
  <c r="D16" i="5" s="1"/>
  <c r="E16" i="5" s="1"/>
  <c r="G17" i="5"/>
  <c r="H17" i="5" s="1"/>
  <c r="C19" i="5"/>
  <c r="D19" i="5" s="1"/>
  <c r="E19" i="5" s="1"/>
  <c r="G20" i="5"/>
  <c r="H20" i="5" s="1"/>
  <c r="C22" i="5"/>
  <c r="D22" i="5" s="1"/>
  <c r="E22" i="5" s="1"/>
  <c r="G23" i="5"/>
  <c r="H23" i="5" s="1"/>
  <c r="C25" i="5"/>
  <c r="G26" i="5"/>
  <c r="H26" i="5" s="1"/>
  <c r="D13" i="5"/>
  <c r="D25" i="5"/>
  <c r="E25" i="5" s="1"/>
  <c r="E13" i="5"/>
  <c r="I14" i="5"/>
  <c r="I17" i="5"/>
  <c r="I20" i="5"/>
  <c r="I23" i="5"/>
  <c r="F13" i="5"/>
  <c r="F16" i="5"/>
  <c r="G16" i="5" s="1"/>
  <c r="H16" i="5" s="1"/>
  <c r="F19" i="5"/>
  <c r="F22" i="5"/>
  <c r="G22" i="5" s="1"/>
  <c r="H22" i="5" s="1"/>
  <c r="F25" i="5"/>
  <c r="G25" i="5" s="1"/>
  <c r="H25" i="5" s="1"/>
  <c r="G13" i="5"/>
  <c r="H13" i="5" s="1"/>
  <c r="C15" i="5"/>
  <c r="D15" i="5" s="1"/>
  <c r="E15" i="5" s="1"/>
  <c r="C18" i="5"/>
  <c r="D18" i="5" s="1"/>
  <c r="E18" i="5" s="1"/>
  <c r="G19" i="5"/>
  <c r="H19" i="5" s="1"/>
  <c r="C21" i="5"/>
  <c r="D21" i="5" s="1"/>
  <c r="E21" i="5" s="1"/>
  <c r="C24" i="5"/>
  <c r="D24" i="5" s="1"/>
  <c r="E24" i="5" s="1"/>
  <c r="F15" i="5"/>
  <c r="F18" i="5"/>
  <c r="G18" i="5" s="1"/>
  <c r="H18" i="5" s="1"/>
  <c r="F21" i="5"/>
  <c r="G21" i="5" s="1"/>
  <c r="H21" i="5" s="1"/>
  <c r="F24" i="5"/>
  <c r="G24" i="5" s="1"/>
  <c r="H24" i="5" s="1"/>
  <c r="G15" i="5"/>
  <c r="H15" i="5" s="1"/>
  <c r="E11" i="6"/>
  <c r="E13" i="6"/>
  <c r="D14" i="5"/>
  <c r="E14" i="5" s="1"/>
  <c r="D17" i="5"/>
  <c r="E17" i="5" s="1"/>
  <c r="D20" i="5"/>
  <c r="E20" i="5" s="1"/>
  <c r="D23" i="5"/>
  <c r="E23" i="5" s="1"/>
  <c r="F13" i="6" l="1"/>
  <c r="G13" i="6"/>
  <c r="F11" i="6"/>
  <c r="G11" i="6"/>
  <c r="G15" i="6"/>
  <c r="G12" i="6"/>
</calcChain>
</file>

<file path=xl/sharedStrings.xml><?xml version="1.0" encoding="utf-8"?>
<sst xmlns="http://schemas.openxmlformats.org/spreadsheetml/2006/main" count="2049" uniqueCount="1407">
  <si>
    <t>E2 Scenario Justification &amp; OCC Requirements</t>
  </si>
  <si>
    <t>Sub-activities 1, 2 &amp; 3 of 3 — OCC (Defensive Driving) + TRF (Traffic Expectations) + SIG (Intention Signaling)</t>
  </si>
  <si>
    <t>Program</t>
  </si>
  <si>
    <t>DO-Crawl (I-35 Dallas–Laredo)</t>
  </si>
  <si>
    <t>Platform</t>
  </si>
  <si>
    <t>Class 8 AV Truck (SDT)</t>
  </si>
  <si>
    <t>ODD envelope</t>
  </si>
  <si>
    <t>0–68 mph (0–30.4 m/s) limited-access highway</t>
  </si>
  <si>
    <t>Document</t>
  </si>
  <si>
    <t>E2_Scenario_Justification_v4.1.xlsx</t>
  </si>
  <si>
    <t>Scope</t>
  </si>
  <si>
    <t>OCC (QA-corrected) + TRF (initial draft) + SIG (initial draft). E2 livrable complet.</t>
  </si>
  <si>
    <t>Version</t>
  </si>
  <si>
    <t>v4.1 — OCC QA-corrected + TRF + SIG extensions (see E2_OCC_QA_Review_v1.0.docx)</t>
  </si>
  <si>
    <t>Date</t>
  </si>
  <si>
    <t>2026-04-19</t>
  </si>
  <si>
    <t>Owner</t>
  </si>
  <si>
    <t>Neil Benhamou — FuSa/SOTIF Engineer</t>
  </si>
  <si>
    <t>Status</t>
  </si>
  <si>
    <t>Draft — OCC QA findings F-M-01..04, F-S-01..11, F-H-01..05 applied; TRF + SIG initial drafts for internal review.</t>
  </si>
  <si>
    <t>Standards touched</t>
  </si>
  <si>
    <t>ISO 21448:2022, ISO/DTS 5083, ISO/PAS 8800, ISO 26262, UN R157, UN R13 (ESS), FMVSS 108, FMCSA 49 CFR §§393.9/11/20/22, FHWA BC, Texas TRC §§545/547</t>
  </si>
  <si>
    <t>Color legend (per Torc/industry FA modelling convention)</t>
  </si>
  <si>
    <t>Blue</t>
  </si>
  <si>
    <t>Hardcoded inputs — numbers the user changes for scenarios</t>
  </si>
  <si>
    <t>Black</t>
  </si>
  <si>
    <t>Formulas and calculations</t>
  </si>
  <si>
    <t>Green</t>
  </si>
  <si>
    <t>Links to another worksheet in this workbook</t>
  </si>
  <si>
    <t>Red</t>
  </si>
  <si>
    <t>Links to external files</t>
  </si>
  <si>
    <t>Yellow</t>
  </si>
  <si>
    <t>Key assumption needing attention or confirmation</t>
  </si>
  <si>
    <t>Source verification tiers</t>
  </si>
  <si>
    <t>VERIFIED</t>
  </si>
  <si>
    <t>Direct reference to a regulatory text, published standard, or peer-reviewed paper the author holds a copy of</t>
  </si>
  <si>
    <t>DERIVED</t>
  </si>
  <si>
    <t>Number computed from other VERIFIED inputs via an explicit kinematic/physical equation documented in-sheet</t>
  </si>
  <si>
    <t>TBD/TBR</t>
  </si>
  <si>
    <t>Not yet sourced. Must be confirmed by Neil or the relevant Torc owner before release. Do NOT cite externally.</t>
  </si>
  <si>
    <t>Reviewer note</t>
  </si>
  <si>
    <t>All numeric inputs are traceable. Any cell with a yellow fill or a [TBD]/[TBR] label must be confirmed against the authoritative source (JAMA, Torc internal measurement campaign, or cited external document) before this file is used for a formal DSC gate review. The kinematic model implements the speed-dependent time-headway policy h(v) = max(h_floor, t_total + v/(2·a_SDT) − (L+g_h)/v) × (1 + m_safety), which is the basis for requirement OCC-002.</t>
  </si>
  <si>
    <t>Actor Layer Assumptions — SDT, OMV, and environment</t>
  </si>
  <si>
    <t>Parameter</t>
  </si>
  <si>
    <t>Symbol</t>
  </si>
  <si>
    <t>Value</t>
  </si>
  <si>
    <t>Unit</t>
  </si>
  <si>
    <t>Tier</t>
  </si>
  <si>
    <t>Source / Rationale</t>
  </si>
  <si>
    <t>SDT max highway speed</t>
  </si>
  <si>
    <t>v_SDT_max</t>
  </si>
  <si>
    <t>m/s</t>
  </si>
  <si>
    <t>68 mph ODD ceiling (DO-Crawl ODD catalog). 68 mph × 0.44704.</t>
  </si>
  <si>
    <t>SDT free-flow reference speed</t>
  </si>
  <si>
    <t>v_SDT_ff</t>
  </si>
  <si>
    <t>65 mph × 0.44704 ≈ 29.06 m/s. Used for worst-case longitudinal kinematic sizing.</t>
  </si>
  <si>
    <t>SDT commanded deceleration (SDT)</t>
  </si>
  <si>
    <t>a_SDT</t>
  </si>
  <si>
    <t>m/s²</t>
  </si>
  <si>
    <t>TBV</t>
  </si>
  <si>
    <t>Torc internal BiL test envelope for Class 8 loaded GCVW — upper-bound design value. [TBV with JAMA brake test report]. F-S-04 applied.</t>
  </si>
  <si>
    <t>Brake rise time (FMVSS 121)</t>
  </si>
  <si>
    <t>t_rise</t>
  </si>
  <si>
    <t>s</t>
  </si>
  <si>
    <t>FMVSS 121 §S5.3.3 (Brake actuation time, 49 CFR 571.121) — air-brake system build-up delay for loaded Class 8. F-S-07 applied.</t>
  </si>
  <si>
    <t>ADS detect-to-brake reaction time</t>
  </si>
  <si>
    <t>t_react</t>
  </si>
  <si>
    <t>Torc internal ADS BiL envelope (perception + decision + actuation hand-off). [Prior citation SAE J3018 retracted — J3018 scope is In-Vehicle Fallback Test Driver, not ADS reaction time]. F-S-04 applied.</t>
  </si>
  <si>
    <t>Total end-to-end system delay</t>
  </si>
  <si>
    <t>t_total</t>
  </si>
  <si>
    <t>t_react + t_rise = 0.70 + 0.45 = 1.15 s.</t>
  </si>
  <si>
    <t>Semi-trailer length (SDT)</t>
  </si>
  <si>
    <t>L_semi</t>
  </si>
  <si>
    <t>m</t>
  </si>
  <si>
    <t>23 CFR §658.13 (STAA dimensions) — 48 ft trailer ≈ 14.6 m + tractor porte-à-faux. Total vehicle length can reach ~20 m. Value 16 m = trailer + tractor fifth-wheel zone [TBV Torc fleet engineering]. F-S-01 applied.</t>
  </si>
  <si>
    <t>Double-trailer length</t>
  </si>
  <si>
    <t>L_double</t>
  </si>
  <si>
    <t>23 CFR §658.13 — 28 ft + 28 ft trailers = 17.1 m of trailers; with tractor ~23–25 m. Value 28 m = upper-bound engineering estimate [TBV]. F-S-01 applied.</t>
  </si>
  <si>
    <t>OMV hard-brake deceleration</t>
  </si>
  <si>
    <t>a_OMV</t>
  </si>
  <si>
    <t>Torc conservative hypothesis for panic-stop OMV on high-μ surface with performant ABS — envelope above UN R157 baseline (≈6 m/s²). [Exact UN R157 Annex 4 clause to be verified in UNECE ECE/TRANS/WP.29/2020/81]. F-S-05 applied.</t>
  </si>
  <si>
    <t>OMV standard deceleration (free-flow)</t>
  </si>
  <si>
    <t>a_OMV_ff</t>
  </si>
  <si>
    <t>Symmetric braking hypothesis with a_SDT. Consistent with Wang, Xu &amp; Dai (2019) AAP 124:127-137 naturalistic driving envelope [TBV p95 value]. F-S-11 applied.</t>
  </si>
  <si>
    <t>Minimum lateral cut-in gap (physical)</t>
  </si>
  <si>
    <t>g_h_min</t>
  </si>
  <si>
    <t>UN R157 Annex 4 (ALKS cut-in safety demonstration) — aggressive cut-in with zero effective longitudinal headway, worst-case kinematic sizing. [TBV exact clause].</t>
  </si>
  <si>
    <t>Typical cut-in vehicle length</t>
  </si>
  <si>
    <t>L_CIV</t>
  </si>
  <si>
    <t>FHWA passenger-car class, standard mid-size sedan.</t>
  </si>
  <si>
    <t>AASHTO K-value crest (65 mph)</t>
  </si>
  <si>
    <t>K_crest</t>
  </si>
  <si>
    <t>—</t>
  </si>
  <si>
    <t>AASHTO Green Book 2018 Ch.3 Table 3-34 — K for SSD at 105 km/h ≈ 65 mph. [Primary source AASHTO — PDF on file, Torc evidence folder].</t>
  </si>
  <si>
    <t>AASHTO SSD (65 mph, 2% grade)</t>
  </si>
  <si>
    <t>SSD_65</t>
  </si>
  <si>
    <t>AASHTO Green Book 2018 Table 3-1 — stopping sight distance for 65 mph (design value 645 ft ≈ 196.5 m, rounded to 195 m). Derived with a_design = 3.4 m/s² and t_PRT = 2.5 s.</t>
  </si>
  <si>
    <t>Low-visibility fog (DO-Crawl ODD)</t>
  </si>
  <si>
    <t>vis_fog_min</t>
  </si>
  <si>
    <t>DO-Crawl ODD attribute 'visibility ≥ 100 m' (inside ODD envelope).</t>
  </si>
  <si>
    <t>AASHTO design deceleration</t>
  </si>
  <si>
    <t>a_design</t>
  </si>
  <si>
    <t>AASHTO Green Book 2018 §3.2.2 — design deceleration rate (11.2 ft/s²) used for SSD calculations. Equivalent to μ_effective ≈ 0.35g, conservative for wet pavement. [REPLACES prior μ_dry=0.75 which was inconsistent with AASHTO methodology]. F-S-02 applied.</t>
  </si>
  <si>
    <t>Target safety margin on h(v)</t>
  </si>
  <si>
    <t>m_safety</t>
  </si>
  <si>
    <t>25 % engineering margin over physical h_min(v); to be calibrated via BiL and field tests [TBV].</t>
  </si>
  <si>
    <t>Time-headway floor (low speed)</t>
  </si>
  <si>
    <t>h_floor</t>
  </si>
  <si>
    <t>Industry-standard minimum time gap for ADS longitudinal control — aligned with ISO 22179 ACC minimum time gap and commercial ACC practice (~2 s). [Prior citation Texas CDL Handbook §2.7 retracted — CDL rule gives 7–8 s for Class 8, not 2 s]. F-S-06 applied.</t>
  </si>
  <si>
    <t>Free-flow / congestion speed threshold</t>
  </si>
  <si>
    <t>v_thr</t>
  </si>
  <si>
    <t>Torc conservative threshold for free-flow vs congestion regime (45 mph). Below this, h_floor dominates and cut-in kinematics are manageable. Choice lower than HCM 2016 LOS D vertex (≈28 m/s for FFS=70 mph) for safety margin — NOT derived directly from HCM. [TBV by traffic engineering]. F-S-08 applied.</t>
  </si>
  <si>
    <t>TRF sub-activity — Traffic Expectations parameters</t>
  </si>
  <si>
    <t>Lane-change signal lead time</t>
  </si>
  <si>
    <t>t_LC_signal</t>
  </si>
  <si>
    <t>Industry practice for ADS Class 8 (SAE J3016 intent-signalling guidance). Texas TRC §545.104 prescribes 100 ft minimum before turn/change — at 29 m/s ≈ 1 s, ADS adopts ≥3 s lead for predictability to other drivers. [TBV internal Torc HMI spec].</t>
  </si>
  <si>
    <t>Minimum signal-to-maneuver distance</t>
  </si>
  <si>
    <t>d_signal_min</t>
  </si>
  <si>
    <t>Texas TRC §545.104(b) — signal at least 100 ft (≈30 m) before turn, stop, or lane change.</t>
  </si>
  <si>
    <t>Max longitudinal jerk (nominal)</t>
  </si>
  <si>
    <t>j_long_max</t>
  </si>
  <si>
    <t>m/s³</t>
  </si>
  <si>
    <t>UN R157 §5.6.2 smooth-driving envelope for ALKS; aligned with industry ride-comfort limit (~2 m/s³) — [TBV Torc longitudinal controller calibration].</t>
  </si>
  <si>
    <t>Max longitudinal jerk (emergency)</t>
  </si>
  <si>
    <t>j_long_emerg</t>
  </si>
  <si>
    <t>UN R157 §5.6.2 emergency upper bound; [TBV field validation].</t>
  </si>
  <si>
    <t>Max lateral jerk</t>
  </si>
  <si>
    <t>j_lat_max</t>
  </si>
  <si>
    <t>ISO 11270 heading-control comfort guidance; [TBV Torc lateral controller].</t>
  </si>
  <si>
    <t>Posted speed — upper tolerance</t>
  </si>
  <si>
    <t>dv_posted_up</t>
  </si>
  <si>
    <t>ADS speed compliance band: target ≤ posted + 3 mph to remain lawful yet cohérent with flow. [TBV Torc policy].</t>
  </si>
  <si>
    <t>Posted speed — lower tolerance</t>
  </si>
  <si>
    <t>dv_posted_low</t>
  </si>
  <si>
    <t>ADS speed compliance band: target ≥ posted − 5 mph to avoid rolling roadblock. [TBV Torc policy].</t>
  </si>
  <si>
    <t>Flow-match delta below 85th pctl</t>
  </si>
  <si>
    <t>dv_flow</t>
  </si>
  <si>
    <t>Maximum tolerated slow-down below traffic 85th percentile speed before accepting non-flow-match. [TBV traffic engineering].</t>
  </si>
  <si>
    <t>Minimum highway speed (legal floor)</t>
  </si>
  <si>
    <t>v_min</t>
  </si>
  <si>
    <t>Texas TRC §545.351(b) — 40 mph minimum on Interstate unless hazard, gradient, or law-enforcement direction.</t>
  </si>
  <si>
    <t>Gap target for on-ramp merger</t>
  </si>
  <si>
    <t>t_gap_merger</t>
  </si>
  <si>
    <t>Minimum time-gap offered to an on-ramp merging vehicle; derived from AAA Foundation merge-behavior studies [TBV].</t>
  </si>
  <si>
    <t>Zipper-merge gap</t>
  </si>
  <si>
    <t>t_gap_zipper</t>
  </si>
  <si>
    <t>Minimum time-gap in alternating zipper-merge; MUTCD 2023 Part 6C TTC + FHWA late-merge guidance [TBV].</t>
  </si>
  <si>
    <t>Move-over lateral clearance</t>
  </si>
  <si>
    <t>d_moveover</t>
  </si>
  <si>
    <t>Texas TRC §545.157(b) — pass emergency/stationary authorized vehicle with full lane change if possible, else reduce speed and increase lateral clearance.</t>
  </si>
  <si>
    <t>Max lane-change maneuver duration</t>
  </si>
  <si>
    <t>t_LC_max</t>
  </si>
  <si>
    <t>Industry-typical lane-change duration for Class 8; UN R157 §5.6.2 allows up to ~6 s [TBV].</t>
  </si>
  <si>
    <t>Max time to return-to-RL after pass</t>
  </si>
  <si>
    <t>t_return_RL</t>
  </si>
  <si>
    <t>Internal Torc courtesy rule to avoid 'left-lane squatting'. Texas TRC §545.051 requires return after overtake but no numeric limit [TBV policy].</t>
  </si>
  <si>
    <t>Max LL occupancy when RL is clear</t>
  </si>
  <si>
    <t>t_LL_clear_max</t>
  </si>
  <si>
    <t>Social-acceptability cap for uncontested LL occupancy. No regulatory numeric — internal Torc policy [TBV].</t>
  </si>
  <si>
    <t>Lane-keep lateral error cap</t>
  </si>
  <si>
    <t>e_lat_max</t>
  </si>
  <si>
    <t>ISO 11270:2014 lane-keeping assist system accuracy band (±0.3 m standard). [TBV Torc lateral controller spec].</t>
  </si>
  <si>
    <t>Queue approach deceleration target</t>
  </si>
  <si>
    <t>a_queue_target</t>
  </si>
  <si>
    <t>Smooth-approach deceleration to avoid abrupt braking into traffic queue; ride-comfort value, not safety floor [TBV].</t>
  </si>
  <si>
    <t>Work-zone speed reduction</t>
  </si>
  <si>
    <t>dv_WZ</t>
  </si>
  <si>
    <t>MUTCD 2023 Part 6C — 10 mph posted reduction through active work zones.</t>
  </si>
  <si>
    <t>SIG sub-activity — Intention Signaling parameters</t>
  </si>
  <si>
    <t>Turn signal lead time (LC/exit)</t>
  </si>
  <si>
    <t>t_sig_lead</t>
  </si>
  <si>
    <t>ADS intent-signaling lead time for lane change / exit. Texas TRC §545.104(b) prescribes 100 ft (~1 s at 29 m/s); ADS adopts ≥3 s for Class 8 predictability [TBV Torc HMI spec].</t>
  </si>
  <si>
    <t>Turn signal min lead distance</t>
  </si>
  <si>
    <t>d_sig_lead</t>
  </si>
  <si>
    <t>Texas TRC §545.104(b) — minimum 100 ft (30.48 m) signal before a turn, stop, or lane change.</t>
  </si>
  <si>
    <t>Turn signal min display before LC</t>
  </si>
  <si>
    <t>t_sig_min_pre</t>
  </si>
  <si>
    <t>Minimum signal time before lateral commitment begins. Below this, signal is perceived as 'signal-after-intent' by other drivers. [TBV Torc HMI calibration].</t>
  </si>
  <si>
    <t>Turn signal auto-off tolerance</t>
  </si>
  <si>
    <t>t_sig_auto_off</t>
  </si>
  <si>
    <t>Max delay between end of lateral maneuver (heading aligned with new lane) and signal-off command. Avoids 'blinker-left-on' confusion.</t>
  </si>
  <si>
    <t>Turn signal flash frequency</t>
  </si>
  <si>
    <t>f_sig_flash</t>
  </si>
  <si>
    <t>Hz</t>
  </si>
  <si>
    <t>FMVSS 108 S7.8.5 — 60 to 120 flashes per minute (1.0 to 2.0 Hz). Nominal 90/min = 1.5 Hz.</t>
  </si>
  <si>
    <t>Brake light min display duration</t>
  </si>
  <si>
    <t>t_brk_min</t>
  </si>
  <si>
    <t>Minimum brake-lamp ON duration even for very short decel transients. Below 0.3 s not perceivable by following drivers. UN R48 §6.7 ref.</t>
  </si>
  <si>
    <t>Progressive brake light threshold</t>
  </si>
  <si>
    <t>a_brk_on</t>
  </si>
  <si>
    <t>FMVSS 108 / UN R13H — brake lamps shall come on when service brake is applied (typical 0.5 m/s² deceleration threshold for ADS, mapped to brake pedal travel / pressure).</t>
  </si>
  <si>
    <t>ESS activation decel threshold</t>
  </si>
  <si>
    <t>a_ess_on</t>
  </si>
  <si>
    <t>UN R13 §5.2.1.31 (Emergency Stop Signal) — flashing brake lamps triggered when deceleration ≥ 6 m/s² (0.6 g). Activation recommended, mandatory in UN R13H §5.2.22.</t>
  </si>
  <si>
    <t>ESS / hazard flash frequency</t>
  </si>
  <si>
    <t>f_ess_flash</t>
  </si>
  <si>
    <t>UN R13 §5.2.1.31.3 — ESS flashing frequency 4.0 ± 1.0 Hz (240 ± 60 per minute).</t>
  </si>
  <si>
    <t>ESS deactivation decel threshold</t>
  </si>
  <si>
    <t>a_ess_off</t>
  </si>
  <si>
    <t>UN R13 §5.2.1.31.2 — ESS deactivated when decel &lt; 2.5 m/s² or when brake lamps normal.</t>
  </si>
  <si>
    <t>Hazard lead time before MRC stop</t>
  </si>
  <si>
    <t>t_haz_lead</t>
  </si>
  <si>
    <t>Hazard-4-way warning activation ahead of minimum-risk-condition final stop on shoulder. [TBV ADS MRC HMI spec].</t>
  </si>
  <si>
    <t>Hazard min display once stopped</t>
  </si>
  <si>
    <t>t_haz_min</t>
  </si>
  <si>
    <t>Minimum duration hazards are maintained after SDT reaches 0 m/s in MRC before transitioning to fallback signalling (triangles deployed).</t>
  </si>
  <si>
    <t>Marker lamp duty cycle (conspicuity)</t>
  </si>
  <si>
    <t>duty_marker</t>
  </si>
  <si>
    <t>ratio</t>
  </si>
  <si>
    <t>Availability requirement for Class 8 ID/clearance/side-marker lamps under normal highway operation. [TBV fleet reliability SLA].</t>
  </si>
  <si>
    <t>Clearance lamp spacing (Class 8)</t>
  </si>
  <si>
    <t>d_clr_spacing</t>
  </si>
  <si>
    <t>49 CFR §393.11 Table 1 — side-marker lamps / reflectors at intervals not exceeding 16 ft (≈ 4.88 m).</t>
  </si>
  <si>
    <t>Exit signal lead distance</t>
  </si>
  <si>
    <t>d_sig_exit</t>
  </si>
  <si>
    <t>Signal activation distance before off-ramp gore. AASHTO Green Book Ch. 10 gore taper length + 1 s driver perception at 30 m/s ≈ 120–180 m [TBV Torc ops].</t>
  </si>
  <si>
    <t>Signal failure annunciation latency</t>
  </si>
  <si>
    <t>t_sig_fail</t>
  </si>
  <si>
    <t>Max time between lamp-failure detection (current monitoring / photometric) and driver/remote-supervisor notification. [TBV Torc E/E supervision].</t>
  </si>
  <si>
    <t>Degraded-mode signaling decel cap</t>
  </si>
  <si>
    <t>a_deg_max</t>
  </si>
  <si>
    <t>Maximum SDT deceleration in signaling-degraded mode (e.g., one-sided turn lamp out) before handover/MRC. Limits hazard to following traffic.</t>
  </si>
  <si>
    <t>OCC Scenario Catalog — Sub-activity 1 (Defensive Driving in Occlusion Areas)</t>
  </si>
  <si>
    <t>ID</t>
  </si>
  <si>
    <t>Family</t>
  </si>
  <si>
    <t>Scenario name</t>
  </si>
  <si>
    <t>Regime</t>
  </si>
  <si>
    <t>Trigger</t>
  </si>
  <si>
    <t>Occluding actor</t>
  </si>
  <si>
    <t>Primary hazard</t>
  </si>
  <si>
    <t>Governing equation</t>
  </si>
  <si>
    <t>Temporal description (phase by phase)</t>
  </si>
  <si>
    <t>Governed requirement(s)</t>
  </si>
  <si>
    <t>Source/References</t>
  </si>
  <si>
    <t>OCC-A1</t>
  </si>
  <si>
    <t>A — Longitudinal (cut-out)</t>
  </si>
  <si>
    <t>Semi-trailer cut-out reveals stopped vehicle</t>
  </si>
  <si>
    <t>Free-flow</t>
  </si>
  <si>
    <t>Lead semi-trailer changes lane unveiling stopped vehicle</t>
  </si>
  <si>
    <t>Semi-trailer (L=16 m)</t>
  </si>
  <si>
    <t>Longitudinal (rear-end stopped)</t>
  </si>
  <si>
    <t>h_min(v)=v/(2·a_SDT)+t_total−(L+g_h)/v</t>
  </si>
  <si>
    <t>ROAD: 2-lane I-35 southbound, straight, level. GEOMETRY CONVENTION: d measured from SDT front. SDT follows OMV at h_policy(29,L=16) = 4.37 s → d_OMV_rear = 126.8 m, d_OMV_front = 142.8 m. t=−5s SETUP: SDT in RL at v=29 m/s. OMV semi-trailer (L=16 m) in RL at d_OMV_rear=+127 m, v=29 m/s. Stopped car occluded ahead of OMV at d_car = d_OMV_front + g_h = 143 m (g_h=0). LL clear. t=−3s→−0.5s CUT-OUT INTENT: OMV activates left turn signal, lateral v=0.5 m/s. SDT perception flags intent (OCC-003). t=0 REVEAL: OMV fully in LL. Stopped car exposed to SDT at d=+143 m, Δv=29 m/s. t=0→+1.15s SYSTEM DELAY: SDT covers 33.4 m at constant 29 m/s → gap shrinks to 109.5 m. Brake command issued at t=1.15s. t=+1.15s→+6.95s BRAKING: SDT decels at 5 m/s², stopping distance 84.1 m → final margin ≈ 25.4 m. OUTCOME: collision avoided with comfortable margin. Worst-case sensitivity (a_SDT=4.5 m/s² degraded): stopping 93.4 m → margin 16.1 m, still above 5 m critical floor. F-M-01 applied.</t>
  </si>
  <si>
    <t>OCC-001,002,003,008</t>
  </si>
  <si>
    <t>UN R157 §5.1; AASHTO SSD Table 3-1</t>
  </si>
  <si>
    <t>OCC-A2</t>
  </si>
  <si>
    <t>Double-trailer cut-out reveals slow vehicle</t>
  </si>
  <si>
    <t>Double trailer cut-out; lead vehicle ~15 m/s behind</t>
  </si>
  <si>
    <t>Double trailer (L=28 m)</t>
  </si>
  <si>
    <t>Longitudinal (speed mismatch)</t>
  </si>
  <si>
    <t>Same as OCC-A1 with L=28 m</t>
  </si>
  <si>
    <t>ROAD: 2-lane I-35 southbound, straight, level. GEOMETRY CONVENTION: d measured from SDT front. SDT follows OMV double at h_policy(29,L=28) = 3.86 s → d_OMV_rear = +112 m, d_OMV_front = +140 m. t=−5s SETUP: SDT in RL at v=29 m/s. OMV double-trailer (L=28 m) in RL at d_OMV_rear=+112 m, v=29 m/s. Slow pickup (L=5 m) in front of OMV at d_pickup = d_OMV_front + g_h = +140 m (g_h=0), v_slow=14 m/s. LL clear. t=−3s→−0.5s CUT-OUT INTENT: OMV double begins left lane change, turn signal on, lateral v=0.5 m/s. t=0 REVEAL: slow pickup exposed at d=+140 m, Δv=15 m/s. t=0→+1.15s SYSTEM DELAY: SDT covers 33.4 m, pickup covers 16.1 m → gap = 140 + 16.1 − 33.4 = 122.7 m. t=+1.15s→+~4.15s BRAKING &amp; CONVERGENCE: SDT decels at 5 m/s² toward v=14 m/s (matches in 3 s; SDT covers 64.5 m; pickup covers 42 m). Final gap ≈ 122.7 + 42 − 64.5 = 100.2 m (large margin because slow pickup keeps moving). OUTCOME: avoided; steady-state following at h_policy(14)=2.5 s → gap 35 m. F-M-01 applied.</t>
  </si>
  <si>
    <t>OCC-001,002,003</t>
  </si>
  <si>
    <t>23 CFR §658.13 (STAA dims); Wang 2019</t>
  </si>
  <si>
    <t>OCC-A3</t>
  </si>
  <si>
    <t>Flatbed cut-out reveals debris</t>
  </si>
  <si>
    <t>Flatbed changes lane; static debris revealed</t>
  </si>
  <si>
    <t>Flatbed (L=16 m)</t>
  </si>
  <si>
    <t>Static obstacle emergence</t>
  </si>
  <si>
    <t>h_min same; debris = stopped obstacle</t>
  </si>
  <si>
    <t>ROAD: 2-lane I-35 southbound, straight, level. GEOMETRY CONVENTION: d measured from SDT front. SDT follows OMV at h_policy(29,L=16) = 4.37 s → d_OMV_rear = +127 m, d_OMV_front = +143 m. t=−5s SETUP: SDT in RL at v=29 m/s. OMV flatbed (L=16 m) in RL at d_OMV_rear=+127 m, v=29 m/s. Static debris (tire, 0.6 m) on RL pavement at d_debris = d_OMV_front + g_h = +143 m (g_h=0). LL clear. t=−3s→−0.5s CUT-OUT INTENT: flatbed turn signal + lateral v=0.5 m/s. t=0 REVEAL: debris exposed at d=+143 m — small RCS, low contrast. Perception stress (OCC-001 horizon ≥ 1.5·SSD). t=0→+1.15s SYSTEM DELAY: SDT covers 33.4 m → gap 109.6 m. t=+1.15s→+6.95s BRAKING: SDT full stop in 84.1 m → margin 25.5 m. OUTCOME: avoided if debris classified ≤ +0.3 s after reveal; otherwise degraded mode (OCC-013 perception curtain). F-M-01 applied.</t>
  </si>
  <si>
    <t>OCC-001,003,008,013</t>
  </si>
  <si>
    <t>AASHTO SSD; FHWA debris studies [TBV]</t>
  </si>
  <si>
    <t>OCC-A4</t>
  </si>
  <si>
    <t>Convoy cut-out cascade</t>
  </si>
  <si>
    <t>Multiple occluding actors in echelon cut-out</t>
  </si>
  <si>
    <t>Convoy of 2–3 trucks</t>
  </si>
  <si>
    <t>Repeated reveal — cascaded braking</t>
  </si>
  <si>
    <t>h_min sized on worst of cascade</t>
  </si>
  <si>
    <t>ROAD: 2-lane I-35, straight, level. t=−6s SETUP: SDT in RL at v=29 m/s. Two OMV semis in RL column: OMV1 at d=+127 m, OMV2 at d=+153 m (intra-convoy gap 10 m). Slow vehicle (v=10 m/s) in RL at d=+170 m, hidden by OMV2. LL clear. t=−4s CUT-OUT#1: OMV1 changes to LL. t=−2.5s CUT-OUT#2: OMV2 begins lane change 1.5 s after OMV1. t=0 DOUBLE REVEAL: OMV1 clear, OMV2 straddling RL/LL, slow vehicle at d≈+135 m partially exposed. t=0→+2s SDT treats cascade as single envelope (OCC-004): holds h_policy on tail of convoy. t=+2s→+~8s BRAKING: SDT decels progressively toward v_slow=10 m/s. OUTCOME: avoided; follows slow vehicle at h_policy(10)=2.5 s → gap 25 m.</t>
  </si>
  <si>
    <t>OCC-001,002,004</t>
  </si>
  <si>
    <t>Torc scenario library WIP [TBV]</t>
  </si>
  <si>
    <t>OCC-A5</t>
  </si>
  <si>
    <t>Slow-mover (maintenance/tractor) revealed</t>
  </si>
  <si>
    <t>Transition</t>
  </si>
  <si>
    <t>Slow-mover ≤ 10 m/s dévoilé; v_rel ≥ 19 m/s</t>
  </si>
  <si>
    <t>Truck/pickup (L=16 m)</t>
  </si>
  <si>
    <t>High v_rel rear-end</t>
  </si>
  <si>
    <t>Same, Δv=v_SDT−v_slow</t>
  </si>
  <si>
    <t>ROAD: 2-lane I-35 southbound, straight, level, near exit to farm road. GEOMETRY CONVENTION: d measured from SDT front. SDT follows OMV at h_policy(29,L=16) = 4.37 s → d_OMV_rear = +127 m, d_OMV_front = +143 m. t=−5s SETUP: SDT in RL at v=29 m/s. OMV semi (L=16 m) in RL at d_OMV_rear=+127 m, v=29 m/s. Agricultural tractor (L=5 m, v=7 m/s) hidden behind OMV at d_tractor_rear = d_OMV_front + g_h = +143 m (g_h=0). LL clear. t=−3s CUT-OUT INTENT: OMV signal + lateral v=0.5 m/s. t=0 REVEAL: tractor exposed at d=+143 m, Δv=22 m/s. t=0→+1.15s SYSTEM DELAY: SDT covers 33.4 m, tractor covers 8 m → gap = 143 + 8 − 33.4 = 117.6 m. t=+1.15s→+~5.55s BRAKING: SDT decels at 5 m/s² toward v=7 m/s (converges in 4.4 s; SDT covers 79.2 m; tractor covers 30.8 m). Final gap ≈ 117.6 + 30.8 − 79.2 = 69.2 m. OUTCOME: avoided; follows tractor at h_policy(7)=2.5 s → gap 17.5 m. F-M-01 applied.</t>
  </si>
  <si>
    <t>Texas TRC §545.351; Torc ODD</t>
  </si>
  <si>
    <t>OCC-B1</t>
  </si>
  <si>
    <t>B — Cut-in</t>
  </si>
  <si>
    <t>Standard cut-in, gap respected</t>
  </si>
  <si>
    <t>Adjacent-lane vehicle merges keeping gap ≥ 2 s</t>
  </si>
  <si>
    <t>Passenger car (L=5 m)</t>
  </si>
  <si>
    <t>Minor headway erosion</t>
  </si>
  <si>
    <t>Adjust h by closing Δv</t>
  </si>
  <si>
    <t>ROAD: 2-lane I-35, straight, level, no leading vehicle in RL. t=−3s SETUP: SDT in RL at v=29 m/s. Passenger car V_cut (L=5 m) in LL at d=+40 m, v=27 m/s. t=−2s INTENT: V_cut right turn signal, lateral v=0.3 m/s, monitoring adjacent gap. t=0 INTRUSION: V_cut crosses RL boundary at effective headway ≥ 2 s (~54 m ahead of SDT). t=0→+0.3s DETECTION: SDT flags cut-in (OCC-005, lateral-v ≥ 0.3 m/s + TTI-lane ≤ 2 s). t=+0.3s→+~8s ADJUSTMENT: SDT decels lightly (~1 m/s²) toward the policy following state. Target headway h_policy(27,L=5) = MAX(h_floor, 3.665)×1.25 = 4.58 s → gap 4.58×27 ≈ 124 m. OUTCOME: nominal following re-established; no hazard. F-M-03 applied (h_policy recomputed with L and m_safety).</t>
  </si>
  <si>
    <t>OCC-002,005</t>
  </si>
  <si>
    <t>UN R157 Annex 4 §3.1 normal case</t>
  </si>
  <si>
    <t>OCC-B2</t>
  </si>
  <si>
    <t>Cut-in + moderate brake (5 m/s²)</t>
  </si>
  <si>
    <t>Cut-in vehicle decelerates after merge</t>
  </si>
  <si>
    <t>Headway erosion + speed drop</t>
  </si>
  <si>
    <t>h_min(v,a_OMV=5)</t>
  </si>
  <si>
    <t>ROAD: 2-lane I-35, straight, level. t=−3s SETUP: SDT in RL at v=29 m/s, V_cut (passenger car, L=5 m) in LL at d=+40 m, v=27 m/s. t=−2s INTENT: V_cut right turn signal, lateral v=0.4 m/s. t=0 INTRUSION: V_cut at d=+54 m (~2 s headway) in RL. t=0→+0.3s DETECTION: SDT flags cut-in. t=+0.3s BRAKE START (V_cut): V_cut applies moderate 5 m/s² brake. t=+0.3s→+~3.3s SDT matches deceleration (5 m/s²), closes Δv progressively. Relative Δv peaks, then converges. Nominal worst gap ≈ 24 m (h≈1.5 s — brief excursion below h_policy). OUTCOME: avoided; post-event h re-climbs to h_policy at new common speed.</t>
  </si>
  <si>
    <t>OCC-002,005,006</t>
  </si>
  <si>
    <t>Wang 2019 NDS p95; highD (Krajewski 2018)</t>
  </si>
  <si>
    <t>OCC-B3</t>
  </si>
  <si>
    <t>Aggressive cut-in + hard brake — FREE-FLOW</t>
  </si>
  <si>
    <t>v=29 m/s, g_h=0, a_OMV=12 m/s²</t>
  </si>
  <si>
    <t>Kinematically unavoidable impact</t>
  </si>
  <si>
    <t>Collision detected; residual risk</t>
  </si>
  <si>
    <t>ROAD: 2-lane I-35, straight, level, FREE-FLOW regime (v ≥ v_thr=20 m/s). t=−1s SETUP: SDT in RL at v=29 m/s. V_cut (passenger car, L=5 m) in LL at adjacent longitudinal offset, v=27 m/s. Aggressive/distracted driver. t=−0.5s ABRUPT STEER: V_cut lateral v=1.2 m/s, NO turn signal. t=0 INTRUSION COMPLETE: V_cut in RL at d_initial = +20 m (SDT-front to V_cut-rear), v=27 m/s. Simultaneously applies hard brake a_OMV=12 m/s². t=0→+1.15s SYSTEM DELAY: SDT cruises at 29 m/s → covers 33.35 m. V_cut decels: covers 27·1.15 − 0.5·12·1.15² = 31.05 − 7.94 = 23.1 m, v reaches 27 − 12·1.15 = 13.2 m/s. Instantaneous gap: 20 + 23.1 − 33.35 = 9.75 m, Δv = 29 − 13.2 = 15.8 m/s. t=+1.15s→t_impact BRAKE ENGAGED: SDT decels 5 m/s². Solving x_SDT(t)=x_Vcut(t): 29t = 20 + 27t − 6t² ⇒ t_impact ≈ 1.67 s (V_cut still braking; v_Vcut = 7 m/s). SDT v ≈ 26.4 m/s at impact → Δv_impact ≈ 19.4 m/s. OUTCOME: KINEMATICALLY UNAVOIDABLE under E2 boundary conditions (residual SOTIF risk, ISO 21448 §7). Brake does engage for ≈0.52 s prior to impact (not 'never applies'). OCC-014 mitigates via low-visibility / low-speed curtain when ambient permits; field monitoring required. F-M-04 applied (brake engagement documented, Δv ≈ 19.4 m/s corrected).</t>
  </si>
  <si>
    <t>OCC-006,014</t>
  </si>
  <si>
    <t>UN R157 Annex 4 §3.1; Vass et al. 2026 [TBV]</t>
  </si>
  <si>
    <t>OCC-B4</t>
  </si>
  <si>
    <t>Aggressive cut-in + hard brake — CONGESTION</t>
  </si>
  <si>
    <t>Congestion</t>
  </si>
  <si>
    <t>v ≤ 20 m/s, g_h ≈ h_floor·v, a_OMV=12 m/s²</t>
  </si>
  <si>
    <t>Manageable headway erosion</t>
  </si>
  <si>
    <t>h_min(v,a_OMV=12) ≤ h_floor</t>
  </si>
  <si>
    <t>ROAD: 2-lane I-35, straight, level, CONGESTION regime (start of traffic jam, v &lt; v_thr=20 m/s). t=−3s SETUP: SDT in RL at v=15 m/s following existing lead at h_policy=2.5 s → gap 37.5 m. V_cut (passenger car, L=5 m) in LL at adjacent longitudinal position, v=14 m/s. t=−0.5s ABRUPT STEER: V_cut lateral v=1.2 m/s into RL in front of SDT. t=0 INTRUSION: V_cut enters at d=+37.5 m (geometric floor imposed by congestion traffic), v=15 m/s, immediately applies 12 m/s². t=0→+1.15s SYSTEM DELAY: SDT at 15 m/s covers 17.25 m; V_cut decels to rest at t=1.25 s covering 9.375 m → gap = 37.5 + 9.375 − 17.25 = 29.6 m. t=+1.15s→+4.15s BRAKING: SDT decels 5 m/s², covers 22.5 m, stops. V_cut at 46.875 m. Final margin ≈ 7.1 m. OUTCOME: avoided with margin. Demonstrates manageability in CONGESTION regime (OCC-006).</t>
  </si>
  <si>
    <t>OCC-002,006</t>
  </si>
  <si>
    <t>HCM 2016 Ch.12 LOS D</t>
  </si>
  <si>
    <t>OCC-B5</t>
  </si>
  <si>
    <t>Forced cut-in from blocked lane (work-zone merge)</t>
  </si>
  <si>
    <t>Either</t>
  </si>
  <si>
    <t>Lane-drop/merge forcing adjacent vehicle across</t>
  </si>
  <si>
    <t>Passenger car or truck</t>
  </si>
  <si>
    <t>Reduced gap, unpredictable Δv</t>
  </si>
  <si>
    <t>h_min(v,a_OMV) w/ warning boost</t>
  </si>
  <si>
    <t>ROAD: I-35 with active work-zone — RL closed 500 m ahead, HD-map flagged. t=−6s SETUP: SDT in RL at v=25 m/s, approaching LL-merge-required segment. OMV (truck, L=16 m) in LL at d=+60 m, v=25 m/s. Cones start 500 m ahead. t=−5s OCC-007 TRIGGER: HD-map reads WZ-ahead → SDT pre-reduces to 22 m/s, adds +0.5 s to h. t=−2s INTENT: adjacent vehicle V_cut (LL) detects RL cones and initiates forced cut-in toward RL/merging area. t=0 INTRUSION: V_cut enters ahead of SDT at g_h=8 m, v=24 m/s. t=0→+0.3s DETECTION + GAP CREATION: SDT decels 3 m/s² to offer merge space. t=+0.3s→+~3s CONVERGENCE: both settle at WZ speed ≈18 m/s with h_policy(18)=2.5 s. OUTCOME: avoided; WZ traversal completed at posted speed.</t>
  </si>
  <si>
    <t>OCC-005,006,007,011</t>
  </si>
  <si>
    <t>MUTCD 2023 Part 6C (TTC)</t>
  </si>
  <si>
    <t>OCC-C1</t>
  </si>
  <si>
    <t>C — Geometric</t>
  </si>
  <si>
    <t>Vertical crest (limited SSD)</t>
  </si>
  <si>
    <t>Crest reduces geometric sight distance</t>
  </si>
  <si>
    <t>Road geometry</t>
  </si>
  <si>
    <t>Unseen stopped/slow vehicle</t>
  </si>
  <si>
    <t>SSD ≥ v²/(2·a_SDT)+v·t_total</t>
  </si>
  <si>
    <t>ROAD: I-35, 2-lane, crest vertical curve K=193 (AASHTO Table 3-34, sight-distance-limiting). Grade +3 % → −3 %. t=−4s SETUP: SDT in RL at v=29 m/s ascending grade. Stopped vehicle (broken down) 190 m past crest in RL. SSD at 65 mph = 195 m. t=0 CREST ENTRY: SDT crosses apex; line-of-sight opens from 0 to geometric limit. Stopped vehicle exposed at d=+190 m. t=0→+1.15s SYSTEM DELAY: SDT covers 33.4 m → gap 156.6 m. t=+1.15s→+6.95s BRAKING: SDT decels 5 m/s², covers 84.1 m → margin 72.5 m. OUTCOME: avoided, margin generous. OCC-008 enforces v ≤ v_max(SSD_geom − 10 m) preventively.</t>
  </si>
  <si>
    <t>OCC-008,009</t>
  </si>
  <si>
    <t>AASHTO Green Book 2018 Table 3-34, K=193</t>
  </si>
  <si>
    <t>OCC-C2</t>
  </si>
  <si>
    <t>Sag — pooled traffic in dip</t>
  </si>
  <si>
    <t>Low point accumulates queue out of sight</t>
  </si>
  <si>
    <t>Queue tail emergence</t>
  </si>
  <si>
    <t>SSD bound; anticipated queue</t>
  </si>
  <si>
    <t>ROAD: I-35, 2-lane, sag curve (grade −3 % → +3 %), low point not visible from upstream. t=−5s SETUP: SDT in RL at v=29 m/s descending toward sag. Queue of 3 vehicles stopped at sag bottom (accumulated from downstream incident), tail at d=+180 m, out of geometric sight from SDT. t=−3s OCC-009 TRIGGER: HD-map flags sag geometry with gradient ≤ −2 % → SDT pre-reduces to 27 m/s. t=0 VISUAL: queue tail visible at d=+145 m (SDT has closed some ground). t=0→+1.15s SYSTEM DELAY: SDT at 27 m/s covers 31 m → gap 114 m. t=+1.15s→+6.55s BRAKING: SDT decels 5 m/s², covers 72.9 m → margin 41 m. OUTCOME: avoided thanks to OCC-009 pre-emptive slowdown.</t>
  </si>
  <si>
    <t>AASHTO Green Book 2018 §3.3.2</t>
  </si>
  <si>
    <t>OCC-C3</t>
  </si>
  <si>
    <t>Horizontal curve with median/barrier</t>
  </si>
  <si>
    <t>Jersey barrier obscures inner-lane stopped vehicle</t>
  </si>
  <si>
    <t>Barrier / vegetation</t>
  </si>
  <si>
    <t>Lateral sight distance bound</t>
  </si>
  <si>
    <t>Horizontal SSD formula</t>
  </si>
  <si>
    <t>ROAD: I-35, 2-lane, horizontal curve R=400 m right-hand, Jersey barrier on inside of curve. t=−4s SETUP: SDT in RL at v=29 m/s entering curve. Stopped vehicle in RL at d=+180 m, hidden by Jersey barrier (lateral offset 1.5 m from lane edge). t=0 REVEAL: SDT angle opens view past barrier → stopped vehicle exposed at d=+145 m. t=0→+1.15s SYSTEM DELAY: SDT covers 33.4 m → gap 111.6 m. t=+1.15s→+6.95s BRAKING: SDT decels 5 m/s² covering 84.1 m → margin 27.5 m. Lateral: SDT maintains ≥ 1.2 m clearance to barrier (OCC-010). OUTCOME: avoided.</t>
  </si>
  <si>
    <t>OCC-008,010</t>
  </si>
  <si>
    <t>AASHTO Green Book §3.3.6</t>
  </si>
  <si>
    <t>OCC-C4</t>
  </si>
  <si>
    <t>On-ramp merge area</t>
  </si>
  <si>
    <t>Merging vehicle occluded by lane stripe-geometry</t>
  </si>
  <si>
    <t>On-ramp geometry + merging veh.</t>
  </si>
  <si>
    <t>Unexpected merge-in speed mismatch</t>
  </si>
  <si>
    <t>h_min + lateral reserve</t>
  </si>
  <si>
    <t>ROAD: I-35, on-ramp from farm road with acceleration lane merging into RL, taper 250 m. t=−5s SETUP: SDT in RL at v=25 m/s (approaching merge area). Vehicle V_merge in acceleration lane at d=+60 m lateral offset 3 m, accelerating from 15 to 22 m/s. Partial occlusion by ramp stripe geometry and gore area. t=−2s DETECTION: SDT perception identifies V_merge, estimates merge intent. t=0 MERGE INITIATION: V_merge begins crossing merge line, lateral v=0.4 m/s, v_long=22 m/s, d=+40 m ahead of SDT. t=0→+1s SDT applies +0.5 s h buffer (OCC-007), decels to 22 m/s. t=+1s→+3s V_merge completes merge ahead; SDT follows at h_policy(22)=3.0 s → gap 66 m. OUTCOME: avoided; lateral reserve maintained.</t>
  </si>
  <si>
    <t>OCC-007,011</t>
  </si>
  <si>
    <t>MUTCD §3B; AASHTO Ch.10</t>
  </si>
  <si>
    <t>OCC-C5</t>
  </si>
  <si>
    <t>Off-ramp deceleration lane interaction</t>
  </si>
  <si>
    <t>Vehicle late-decelerates into shared taper</t>
  </si>
  <si>
    <t>Off-ramp geometry</t>
  </si>
  <si>
    <t>Speed mismatch at taper</t>
  </si>
  <si>
    <t>ROAD: I-35, off-ramp area, deceleration lane splits from RL over 200 m taper. t=−4s SETUP: SDT in RL at v=27 m/s. Vehicle V_exit ahead in RL at d=+60 m, v=27 m/s, intending to exit. t=−1s LATE-DECEL: V_exit decelerates abruptly (6 m/s²) in shared taper instead of earlier in decel lane. t=0 SPEED MISMATCH: V_exit at v=15 m/s, d=+45 m. Δv=12 m/s. t=0→+0.3s DETECTION + BRAKE: SDT decels at 5 m/s². t=+0.3s→+3s CONVERGENCE: SDT slows to 15 m/s (covers 42 m); V_exit exits into ramp clearing RL. OUTCOME: avoided; SDT returns to v_cruise after V_exit leaves.</t>
  </si>
  <si>
    <t>OCC-007,010</t>
  </si>
  <si>
    <t>AASHTO Ch.10 §10.9</t>
  </si>
  <si>
    <t>OCC-D1</t>
  </si>
  <si>
    <t>D — Static infrastructure</t>
  </si>
  <si>
    <t>Work-zone barrier / channelizer</t>
  </si>
  <si>
    <t>Temporary barrier hides lane-closure tail</t>
  </si>
  <si>
    <t>Work-zone barrier</t>
  </si>
  <si>
    <t>Queue tail not visible in time</t>
  </si>
  <si>
    <t>SSD bound + ODD flag</t>
  </si>
  <si>
    <t>ROAD: I-35 work-zone, MUTCD Part 6F layout. RL closed behind temporary Jersey barrier, LL active with posted 55 mph. Advance warning at 500 ft. t=−8s SETUP: SDT in RL at v=29 m/s, approaching WZ. HD-map WZ-active + cones start 500 ft ahead. t=−7s OCC-011 TRIGGER: SDT pre-reduces to 25 m/s, biases 0.3 m left (away from barrier). t=−4s QUEUE DETECTION: stopped queue tail at d=+200 m (behind lane-drop cones). t=0 COMMIT BRAKING: SDT at v=25 m/s, gap to queue tail 150 m. t=0→+1.15s SYSTEM DELAY: covers 28.75 m → gap 121.25 m. t=+1.15s→+6.15s BRAKING: covers 62.5 m → margin 58.75 m. OUTCOME: avoided; queue joined safely, lane-change to LL executed per plan.</t>
  </si>
  <si>
    <t>OCC-011,012</t>
  </si>
  <si>
    <t>MUTCD 2023 Part 6F; TxDOT WZ Spec</t>
  </si>
  <si>
    <t>OCC-D2</t>
  </si>
  <si>
    <t>Shoulder-parked vehicle (disabled)</t>
  </si>
  <si>
    <t>Parked truck on shoulder obscures adjacent lane</t>
  </si>
  <si>
    <t>Parked vehicle</t>
  </si>
  <si>
    <t>Pedestrian or debris emerging</t>
  </si>
  <si>
    <t>Lateral clearance guard</t>
  </si>
  <si>
    <t>ROAD: I-35, 2-lane, RL active, right shoulder with disabled truck parked (hazard lights on). t=−4s SETUP: SDT in RL at v=29 m/s. Disabled truck on shoulder at d=+200 m, lateral offset 2.5 m from RL edge. t=−3s DETECTION: SDT identifies parked truck; invokes Texas TRC §545.157 ('move over'). t=−2s OCC-012 ACTION: SDT attempts lane-change to LL; if LL occupied, decels to 27 m/s. t=0 PASSAGE: SDT passes disabled truck at v=27 m/s, lateral clearance ≥ 1.2 m (OCC-010). t=0→+3s NORMAL: if no VRU/occupant emerges, resume v_cruise. HAZARD BRANCH: if pedestrian steps out from behind truck at t=+0.2 s, SDT has pre-reduced speed and can brake within available lateral clearance. OUTCOME: nominal pass; hazard branch mitigated by pre-reduction.</t>
  </si>
  <si>
    <t>OCC-010,012</t>
  </si>
  <si>
    <t>AASHTO §10.8 'move over' law</t>
  </si>
  <si>
    <t>OCC-D3</t>
  </si>
  <si>
    <t>Bridge pier / overhead structure</t>
  </si>
  <si>
    <t>Pier partially blocks far-side lane view</t>
  </si>
  <si>
    <t>Bridge pier</t>
  </si>
  <si>
    <t>Unexpected slow/stopped vehicle</t>
  </si>
  <si>
    <t>SSD bound around structure</t>
  </si>
  <si>
    <t>ROAD: I-35 elevated section, bridge with central pier (concrete column, 2 m wide) between RL and LL. t=−4s SETUP: SDT in RL at v=29 m/s approaching pier. Stopped vehicle beyond pier in RL at d=+180 m, partially occluded. t=0 PIER PASSAGE: SDT at d_pier=0; view of far-side RL opens fully only as SDT passes. Stopped vehicle now exposed at d=+170 m. t=0→+1.15s SYSTEM DELAY: SDT covers 33.4 m → gap 136.6 m. t=+1.15s→+6.95s BRAKING: SDT stops in 84.1 m → margin 52.5 m. OUTCOME: avoided. OCC-008 enforces v-limit under geometric SSD so the margin is preserved even in worst-case pier geometry.</t>
  </si>
  <si>
    <t>OCC-E1</t>
  </si>
  <si>
    <t>E — Environmental</t>
  </si>
  <si>
    <t>Night / dawn / dusk</t>
  </si>
  <si>
    <t>Low ambient light, limited beam throw</t>
  </si>
  <si>
    <t>Ambient luminance</t>
  </si>
  <si>
    <t>Reduced perception range</t>
  </si>
  <si>
    <t>Perception range ≥ SSD(v)</t>
  </si>
  <si>
    <t>ROAD: I-35, 2-lane, straight, level, night (illuminance &lt; 10 lux), no streetlighting. t=−10s SETUP: SDT in RL at v=27 m/s (already reduced per OCC-014). Headlight throw ≈ 200 m (low beam) or 300 m (high beam, DO-Crawl ODD). Disabled vehicle in RL at d=+250 m, no reflectors active. t=0 FIRST DETECTION: SDT vision/lidar picks up vehicle at d=+210 m (perception range limited by night). t=0→+1.15s SYSTEM DELAY: SDT at 27 m/s covers 31 m → gap 179 m. t=+1.15s→+6.55s BRAKING: SDT decels 5 m/s² covers 72.9 m → margin 106 m. OUTCOME: avoided thanks to OCC-014 speed curtain (h augmented by +0.5 s). Failure mode: if perception range drops below SSD(v) → OCC-013 curtain engages → v reduced further.</t>
  </si>
  <si>
    <t>OCC-013,014</t>
  </si>
  <si>
    <t>DO-Crawl ODD illumination band; FMVSS 108 low-beam</t>
  </si>
  <si>
    <t>OCC-E2</t>
  </si>
  <si>
    <t>Fog bank (≥ 100 m visibility)</t>
  </si>
  <si>
    <t>Local fog patch bounds visibility at ODD floor</t>
  </si>
  <si>
    <t>Atmospheric visibility</t>
  </si>
  <si>
    <t>Perception range truncated</t>
  </si>
  <si>
    <t>v ≤ v_ODD(vis)</t>
  </si>
  <si>
    <t>ROAD: I-35, 2-lane, fog bank encountered at mile-marker, ambient visibility 120 m (just above ODD floor of 100 m). t=−15s SETUP: SDT in RL at v=29 m/s upstream of fog bank. t=−5s FOG ENTRY DETECTED: visibility estimator drops to 150 m. OCC-013 curtain: v_curtain such that SSD(v_curtain) ≤ 150 → v_curtain ≈ 22 m/s. t=−3s SPEED REACHED: SDT at v=22 m/s. t=0 HAZARD: stopped vehicle in RL ahead. First detection at d=+130 m. t=0→+1.15s SYSTEM DELAY: covers 25.3 m → gap 104.7 m. t=+1.15s→+5.55s BRAKING: SDT decels 5 m/s², covers 48.4 m → margin 56.3 m. OUTCOME: avoided; perception-speed coupling holds.</t>
  </si>
  <si>
    <t>DO-Crawl ODD 'vis ≥ 100 m'</t>
  </si>
  <si>
    <t>OCC-E3</t>
  </si>
  <si>
    <t>Rain spray from OMV</t>
  </si>
  <si>
    <t>Dense spray plume from lead truck reduces perception</t>
  </si>
  <si>
    <t>Spray cloud</t>
  </si>
  <si>
    <t>Transient perception loss</t>
  </si>
  <si>
    <t>h(v) + perception reserve</t>
  </si>
  <si>
    <t>ROAD: I-35, 2-lane, wet pavement, heavy rain. SDT following OMV semi with intense spray plume. t=−5s SETUP: SDT in RL at v=25 m/s, OMV in RL at d=+90 m (h_policy(25)=3.6 s). Spray plume from OMV wheels reduces optical visibility in 5 m window behind OMV. t=0 PERCEPTION DEGRADATION: rear-lidar return from OMV flickers, camera obscured. OCC-013 triggers. t=0→+2s SDT increases h: decels 1 m/s² until h = h_policy + 0.5 s. v drops to 23 m/s, gap extends to 100 m. t=+2s STABLE: SDT follows OMV at augmented h. If OMV brakes abruptly, OCC-002 headway is sufficient to absorb. OUTCOME: transient perception loss mitigated without hard brake.</t>
  </si>
  <si>
    <t>ISO 19206-2:2018 [TBV]; DO-Crawl ODD weather</t>
  </si>
  <si>
    <t>OCC-E4</t>
  </si>
  <si>
    <t>Sun glare / tunnel entry-exit</t>
  </si>
  <si>
    <t>Low-angle sun or rapid luminance change at tunnel</t>
  </si>
  <si>
    <t>Luminance step</t>
  </si>
  <si>
    <t>Transient blindness of sensor</t>
  </si>
  <si>
    <t>v_curtain &lt; v_SDT during δt</t>
  </si>
  <si>
    <t>ROAD: I-35, transitioning from tunnel to daylight (western portal). t=−3s SETUP: SDT in RL at v=25 m/s inside tunnel (low-light). Sun at low angle beyond tunnel exit, expected 90 klux glare. t=−1s OCC-014 TRIGGER: HD-map flags tunnel portal within 100 m; SDT reduces to 22 m/s. t=0 EXIT: SDT emerges. Camera exposure transient ~0.3 s (blinding); lidar and radar maintain track. Stopped vehicle in RL at d=+150 m (previously just out of sensor effective range at portal). t=0→+0.3s CAMERA BLIND, RADAR/LIDAR OK: fusion downgrades camera weight. Vehicle detected by radar. t=+0.3s→+1.45s SYSTEM DELAY: covers 32 m → gap 118 m. t=+1.45s→+5.85s BRAKING: decels 5 m/s², covers 48.4 m → margin 69.6 m. OUTCOME: avoided; sensor-fusion complementarity handles glare.</t>
  </si>
  <si>
    <t>DO-Crawl ODD (sun glare / tunnel portal)</t>
  </si>
  <si>
    <t>Kinematic Calculator — h(v) forward-chain equation</t>
  </si>
  <si>
    <t>Equation</t>
  </si>
  <si>
    <t>h_min(v) = v/(2·a_SDT) + t_total − (L + g_h)/v</t>
  </si>
  <si>
    <t>h_policy(v) = MAX(h_floor, h_min(v)) × (1 + m_safety)</t>
  </si>
  <si>
    <t>Inputs (link to 'Actor Layer')</t>
  </si>
  <si>
    <t>v (SDT speed)</t>
  </si>
  <si>
    <t>Free-flow highway 65 mph</t>
  </si>
  <si>
    <t>a_SDT (SDT decel)</t>
  </si>
  <si>
    <t>Link to Actor Layer — a_SDT</t>
  </si>
  <si>
    <t>t_total (system delay)</t>
  </si>
  <si>
    <t>Link to Actor Layer — t_total</t>
  </si>
  <si>
    <t>L (occluding actor length)</t>
  </si>
  <si>
    <t>16 m semi / 28 m double</t>
  </si>
  <si>
    <t>g_h (init longitudinal gap)</t>
  </si>
  <si>
    <t>Worst case g_h=0 for cut-in; &gt;0 for cut-out</t>
  </si>
  <si>
    <t>a_OMV (OMV hard brake)</t>
  </si>
  <si>
    <t>Link — a_OMV</t>
  </si>
  <si>
    <t>h_floor (min headway)</t>
  </si>
  <si>
    <t>Link — h_floor (2 s)</t>
  </si>
  <si>
    <t>m_safety (engineering margin)</t>
  </si>
  <si>
    <t>Link — 25 %</t>
  </si>
  <si>
    <t>Outputs</t>
  </si>
  <si>
    <t>h_min_v (physical headway, s)</t>
  </si>
  <si>
    <t>Physical-limit time headway so that (SDT fully braked at impact OR (L+g_h) covered before impact)</t>
  </si>
  <si>
    <t>h_policy (applied headway, s)</t>
  </si>
  <si>
    <t>MAX(h_floor, h_min) × (1 + m_safety) — this is the number propagated to OCC-002 policy.</t>
  </si>
  <si>
    <t>d_gap_min (m) at v</t>
  </si>
  <si>
    <t>v × h_policy — minimum SDT-OMV gap to support h_policy.</t>
  </si>
  <si>
    <t>Regime diagnostic (cut-in hard-brake scenario)</t>
  </si>
  <si>
    <t>v_thr (threshold, m/s)</t>
  </si>
  <si>
    <t>Current regime</t>
  </si>
  <si>
    <t>Worst-case cut-in survival (a_OMV=12, g_h=0)</t>
  </si>
  <si>
    <t>v_SDT_brake_to_rest (m/s at TTI)</t>
  </si>
  <si>
    <t>Collision avoided?</t>
  </si>
  <si>
    <t>h(v) policy envelope — OCC-002 continuous function</t>
  </si>
  <si>
    <t>Constants (links)</t>
  </si>
  <si>
    <t>L (semi)</t>
  </si>
  <si>
    <t>g_h (worst)</t>
  </si>
  <si>
    <t>v (mph)</t>
  </si>
  <si>
    <t>v (m/s)</t>
  </si>
  <si>
    <t>h_min(v) — semi (s)</t>
  </si>
  <si>
    <t>h_policy(v) — semi (s)</t>
  </si>
  <si>
    <t>d_gap — semi (m)</t>
  </si>
  <si>
    <t>h_min(v) — double (s)</t>
  </si>
  <si>
    <t>h_policy(v) — double (s)</t>
  </si>
  <si>
    <t>d_gap — double (m)</t>
  </si>
  <si>
    <t>Reading guide: for a given SDT speed v and occluding actor length L, h_policy(v) gives the minimum time headway that, combined with an OMV hard brake (a_OMV) and worst-case g_h=0, allows SDT to stop before collision — plus a 25 % margin. Below v_thr=20 m/s the floor h_floor=2 s dominates and physical gap remains small, which is why congestion cut-in is manageable. Above v_thr the kinematic term dominates and cut-ins with a_OMV=12 m/s² and g_h=0 become unavoidable (residual SOTIF risk — OCC-014).</t>
  </si>
  <si>
    <t>Sensitivity — h_policy at v=29 m/s, L=16 m</t>
  </si>
  <si>
    <t>Scenario</t>
  </si>
  <si>
    <t>v</t>
  </si>
  <si>
    <t>L</t>
  </si>
  <si>
    <t>g_h</t>
  </si>
  <si>
    <t>Case</t>
  </si>
  <si>
    <t>a_SDT (m/s²)</t>
  </si>
  <si>
    <t>t_total (s)</t>
  </si>
  <si>
    <t>h_min(v) (s)</t>
  </si>
  <si>
    <t>h_policy(v) (s)</t>
  </si>
  <si>
    <t>d_gap (m)</t>
  </si>
  <si>
    <t>Delta vs nominal</t>
  </si>
  <si>
    <t>Nominal</t>
  </si>
  <si>
    <t>−20 % brake (derate)</t>
  </si>
  <si>
    <t>+20 % delay</t>
  </si>
  <si>
    <t>Conservative worst</t>
  </si>
  <si>
    <t>Optimistic (BiL validated)</t>
  </si>
  <si>
    <t>Parameter Matrix — variable ranges per OCC scenario</t>
  </si>
  <si>
    <t>v_SDT range (m/s)</t>
  </si>
  <si>
    <t>L range (m)</t>
  </si>
  <si>
    <t>a_OMV range (m/s²)</t>
  </si>
  <si>
    <t>g_h range (m)</t>
  </si>
  <si>
    <t>Visibility range (m)</t>
  </si>
  <si>
    <t># variants (suggested)</t>
  </si>
  <si>
    <t>Notes</t>
  </si>
  <si>
    <t>10–30.4</t>
  </si>
  <si>
    <t>16</t>
  </si>
  <si>
    <t>5–12</t>
  </si>
  <si>
    <t>0–20</t>
  </si>
  <si>
    <t>ODD</t>
  </si>
  <si>
    <t>3 (v) × 3 (a_OMV) — cut-out classic</t>
  </si>
  <si>
    <t>28</t>
  </si>
  <si>
    <t>Replicate A1 with double trailer</t>
  </si>
  <si>
    <t>15–30.4</t>
  </si>
  <si>
    <t>Debris=static</t>
  </si>
  <si>
    <t>Debris size (small/medium/large) × v</t>
  </si>
  <si>
    <t>16+16</t>
  </si>
  <si>
    <t>Convoy length 2–3 — cascaded cut-out</t>
  </si>
  <si>
    <t>20–30.4</t>
  </si>
  <si>
    <t>Δv 15–25</t>
  </si>
  <si>
    <t>10–30</t>
  </si>
  <si>
    <t>Slow-mover v_slow 5–10 m/s</t>
  </si>
  <si>
    <t>5</t>
  </si>
  <si>
    <t>0–3</t>
  </si>
  <si>
    <t>1–5</t>
  </si>
  <si>
    <t>Standard cut-in, well-behaved</t>
  </si>
  <si>
    <t>Cut-in + moderate brake</t>
  </si>
  <si>
    <t>25–30.4</t>
  </si>
  <si>
    <t>12</t>
  </si>
  <si>
    <t>0</t>
  </si>
  <si>
    <t>Residual hard-brake, free-flow</t>
  </si>
  <si>
    <t>5–20</t>
  </si>
  <si>
    <t>Congestion hard-brake — manageable</t>
  </si>
  <si>
    <t>10–25</t>
  </si>
  <si>
    <t>5–16</t>
  </si>
  <si>
    <t>0–2</t>
  </si>
  <si>
    <t>Work-zone merge forcing cut-in</t>
  </si>
  <si>
    <t>Crest K=100–193 (mild to severe)</t>
  </si>
  <si>
    <t>Sag with queue depth 2–5 vehicles</t>
  </si>
  <si>
    <t>Radius 300–1000 m; barrier present/absent</t>
  </si>
  <si>
    <t>Merge taper length 150–300 m</t>
  </si>
  <si>
    <t>Off-ramp taper</t>
  </si>
  <si>
    <t>Work-zone cone tail 50–200 m</t>
  </si>
  <si>
    <t>Shoulder parked — side clearance</t>
  </si>
  <si>
    <t>Pier offset 2–6 m from lane</t>
  </si>
  <si>
    <t>Night</t>
  </si>
  <si>
    <t>Beam throw / headlight pattern</t>
  </si>
  <si>
    <t>100–200</t>
  </si>
  <si>
    <t>Fog; speed curtain per OCC-014</t>
  </si>
  <si>
    <t>var</t>
  </si>
  <si>
    <t>Spray intensity low/med/high</t>
  </si>
  <si>
    <t>Sun elevation, tunnel portal</t>
  </si>
  <si>
    <t>DO-Crawl ODD subset relevant to OCC sub-activity</t>
  </si>
  <si>
    <t>ODD attribute</t>
  </si>
  <si>
    <t>DO-Crawl value</t>
  </si>
  <si>
    <t>Coverage via OCC scenarios</t>
  </si>
  <si>
    <t>Road type</t>
  </si>
  <si>
    <t>Limited-access freeway (Interstate I-35)</t>
  </si>
  <si>
    <t>All OCC-A/B/C/D/E</t>
  </si>
  <si>
    <t>Covered</t>
  </si>
  <si>
    <t>I-35 Dallas–Laredo segment</t>
  </si>
  <si>
    <t>Speed band</t>
  </si>
  <si>
    <t>0–68 mph (0–30.4 m/s)</t>
  </si>
  <si>
    <t>All, stratified</t>
  </si>
  <si>
    <t>Parameter Matrix covers 10–68 mph</t>
  </si>
  <si>
    <t>Number of lanes</t>
  </si>
  <si>
    <t>2–4 per direction</t>
  </si>
  <si>
    <t>OCC-B, OCC-D, OCC-C</t>
  </si>
  <si>
    <t>Median</t>
  </si>
  <si>
    <t>Jersey barrier / grass median</t>
  </si>
  <si>
    <t>On/off ramps</t>
  </si>
  <si>
    <t>Standard cloverleaf + diamond</t>
  </si>
  <si>
    <t>OCC-C4, OCC-C5</t>
  </si>
  <si>
    <t>Vertical alignment</t>
  </si>
  <si>
    <t>Grade ≤ 4 %, crest &amp; sag present</t>
  </si>
  <si>
    <t>OCC-C1, OCC-C2</t>
  </si>
  <si>
    <t>AASHTO K-values table used</t>
  </si>
  <si>
    <t>Horizontal alignment</t>
  </si>
  <si>
    <t>Min radius ~300 m (Texas TRC)</t>
  </si>
  <si>
    <t>Work zones</t>
  </si>
  <si>
    <t>Permitted (MUTCD Part 6)</t>
  </si>
  <si>
    <t>OCC-B5, OCC-D1</t>
  </si>
  <si>
    <t>Shoulder presence</t>
  </si>
  <si>
    <t>Paved shoulder ≥ 10 ft</t>
  </si>
  <si>
    <t>Illumination</t>
  </si>
  <si>
    <t>Day / dawn / dusk / night</t>
  </si>
  <si>
    <t>OCC-014 legacy requirement</t>
  </si>
  <si>
    <t>Visibility (weather)</t>
  </si>
  <si>
    <t>Dry / light rain / fog ≥ 100 m</t>
  </si>
  <si>
    <t>OCC-E2, OCC-E3</t>
  </si>
  <si>
    <t>Glare events</t>
  </si>
  <si>
    <t>Low-sun, tunnel entry/exit</t>
  </si>
  <si>
    <t>Other road users</t>
  </si>
  <si>
    <t>Passenger cars, Class 3–8 trucks, doubles</t>
  </si>
  <si>
    <t>OCC-A1..A5, OCC-B1..B5</t>
  </si>
  <si>
    <t>Pedestrians on roadway</t>
  </si>
  <si>
    <t>Excluded from DO-Crawl ODD</t>
  </si>
  <si>
    <t>Out of ODD</t>
  </si>
  <si>
    <t>Not in this program</t>
  </si>
  <si>
    <t>VRU (motorbikes, bicycles)</t>
  </si>
  <si>
    <t>Motorcycles permitted; bicycles excluded</t>
  </si>
  <si>
    <t>Flag for TRF/SIG</t>
  </si>
  <si>
    <t>Partial</t>
  </si>
  <si>
    <t>Deferred — TRF sub-activity</t>
  </si>
  <si>
    <t>V2X / HD map status</t>
  </si>
  <si>
    <t>HD map present, V2X not required</t>
  </si>
  <si>
    <t>OCC-C, OCC-D implicit</t>
  </si>
  <si>
    <t>Dependency flagged in doc</t>
  </si>
  <si>
    <t>OCC Requirements — sub-activity 1 (Defensive Driving in Occlusion Areas)</t>
  </si>
  <si>
    <t>Req ID</t>
  </si>
  <si>
    <t>Title</t>
  </si>
  <si>
    <t>Statement</t>
  </si>
  <si>
    <t>Rationale (SOTIF/FuSa)</t>
  </si>
  <si>
    <t>Verification method</t>
  </si>
  <si>
    <t>Evidence artifact</t>
  </si>
  <si>
    <t>ISO anchors</t>
  </si>
  <si>
    <t>OCC-001</t>
  </si>
  <si>
    <t>Detect occluding actor before overtake</t>
  </si>
  <si>
    <t>The SDT shall detect any occluding actor (truck, trailer, barrier, bridge pier) of length ≥ L_min=4 m within the adjacent lanes at a longitudinal distance ≥ 1.5 × SSD(v) before initiating any cut-out-reveal or lane-change manoeuvre.</t>
  </si>
  <si>
    <t>Ensures perception leads decision for all cut-out-driven scenarios OCC-A1..A5. 1.5× factor covers sensor degradation envelope per ISO/PAS 8800.</t>
  </si>
  <si>
    <t>BiL (injected radar/lidar tracks) + field scenario replay</t>
  </si>
  <si>
    <t>BiL test report TC-OCC-001; field logs DS-1..DS-5</t>
  </si>
  <si>
    <t>ISO 21448 §9.2 (perception verification); ISO/PAS 8800 §6.3</t>
  </si>
  <si>
    <t>OCC-002</t>
  </si>
  <si>
    <t>Maintain speed-dependent time headway h(v)</t>
  </si>
  <si>
    <t>The SDT shall maintain an instantaneous time headway h(t) ≥ h_policy(v) where h_policy(v) = MAX(h_floor, v/(2·a_SDT) + t_total − (L+g_h)/v) × (1 + m_safety), with h_floor=2.0 s and m_safety=0.25. Below v_thr=20 m/s the floor dominates; above v_thr the kinematic term dominates.</t>
  </si>
  <si>
    <t>Governs every longitudinal OCC scenario (A1..A5, B2, B4). Replaces the legacy constant TORC-SYSRQ-13828 (h=4 s) which was over-conservative at low speed and under-conservative at 68 mph with 28 m doubles.</t>
  </si>
  <si>
    <t>Simulation sweep over Parameter Matrix; BiL; closed-course recording</t>
  </si>
  <si>
    <t>Excel 'Headway Envelope' sheet + BiL logs</t>
  </si>
  <si>
    <t>ISO 21448 §7, §10; ISO 26262-3 §6</t>
  </si>
  <si>
    <t>OCC-003</t>
  </si>
  <si>
    <t>Anticipate cut-out reveal</t>
  </si>
  <si>
    <t>When an adjacent-lane occluding actor initiates a lane-change (indicated by lateral velocity ≥ 0.5 m/s or active turn-signal), the SDT shall within 0.5 s pre-build a kinematic reserve corresponding to h_policy(v) on the newly exposed longitudinal distance.</t>
  </si>
  <si>
    <t>Closes the loop between perception of cut-out intent and preventive braking, covering A1..A5.</t>
  </si>
  <si>
    <t>BiL (synthetic cut-out traces) + scenario replay</t>
  </si>
  <si>
    <t>BiL report TC-OCC-003</t>
  </si>
  <si>
    <t>ISO 21448 §9.3 (functional insufficiencies mitigation)</t>
  </si>
  <si>
    <t>OCC-004</t>
  </si>
  <si>
    <t>Handle convoy/cascaded cut-out</t>
  </si>
  <si>
    <t>If two or more occluding actors of length ≥ 4 m are tracked in echelon within h_policy(v)×v + 30 m, the SDT shall treat the convoy as a single longitudinal envelope and maintain h_policy on the envelope tail.</t>
  </si>
  <si>
    <t>Covers OCC-A4 — prevents undersized gap when second truck reveals after first cut-out.</t>
  </si>
  <si>
    <t>Simulation batch; BiL</t>
  </si>
  <si>
    <t>Test matrix TM-OCC-A4</t>
  </si>
  <si>
    <t>ISO 21448 §7.3</t>
  </si>
  <si>
    <t>OCC-005</t>
  </si>
  <si>
    <t>Detect cut-in maneuvers</t>
  </si>
  <si>
    <t>The SDT shall detect cut-in manoeuvres by adjacent-lane vehicles with TTI to lane-boundary ≤ 2 s and lateral velocity ≥ 0.3 m/s, and flag the intrusion within ≤ 0.3 s of detection threshold crossing.</t>
  </si>
  <si>
    <t>Prerequisite for OCC-006/007. TTI and lateral velocity thresholds aligned with UN R157 Annex 4 §3.1.</t>
  </si>
  <si>
    <t>BiL injection; closed-course cut-in</t>
  </si>
  <si>
    <t>TC-OCC-005 report</t>
  </si>
  <si>
    <t>UN R157 Annex 4; ISO 21448 §9.2</t>
  </si>
  <si>
    <t>OCC-006</t>
  </si>
  <si>
    <t>Respond to aggressive cut-in (congestion regime)</t>
  </si>
  <si>
    <t>For v ≤ v_thr=20 m/s, on detection of a cut-in with g_h=0 and subsequent lead-vehicle deceleration ≤ a_OMV=12 m/s², the SDT shall decelerate at a_SDT=5 m/s² and avoid collision. Avoidance is verified against h_floor=2 s.</t>
  </si>
  <si>
    <t>Defines the 'manageable' congestion regime (OCC-B4). Consistent with congestion kinematics: the low v keeps h_floor dominant and the cut-in gap small.</t>
  </si>
  <si>
    <t>BiL + closed-course 20 mph / 40 mph cut-in tests</t>
  </si>
  <si>
    <t>TC-OCC-006 report</t>
  </si>
  <si>
    <t>UN R157 Annex 4; ISO 21448 §10</t>
  </si>
  <si>
    <t>OCC-007</t>
  </si>
  <si>
    <t>Detect forced-merge cut-in at work zone</t>
  </si>
  <si>
    <t>Upon receiving an HD-map-annotated lane drop, work-zone, or merge-required segment, the SDT shall pre-reduce speed by Δv ≥ 3 m/s vs free-flow target and increase effective h to h_policy(v) + 0.5 s.</t>
  </si>
  <si>
    <t>Buffer for OCC-B5 (forced merge). MUTCD Part 6 places advance-warning signs ≥ 500 ft upstream, giving the map flag.</t>
  </si>
  <si>
    <t>HD-map-driven scenario replay</t>
  </si>
  <si>
    <t>TC-OCC-007 report</t>
  </si>
  <si>
    <t>ISO 21448 §9.3; MUTCD Part 6F</t>
  </si>
  <si>
    <t>OCC-008</t>
  </si>
  <si>
    <t>Respect geometric SSD</t>
  </si>
  <si>
    <t>In the presence of a vertical crest (K ≤ 193) or horizontal curve, the SDT shall limit commanded speed such that SDT ≤ geometric SSD(v) − margin_geom=10 m, where SSD(v) is computed per AASHTO Green Book 2018 Table 3-1.</t>
  </si>
  <si>
    <t>Ensures kinematic solvability at every point of the ODD in presence of geometric occlusion (OCC-C1..C3, D3).</t>
  </si>
  <si>
    <t>HD-map-driven static analysis + field recording</t>
  </si>
  <si>
    <t>Geometric SSD audit report</t>
  </si>
  <si>
    <t>AASHTO Green Book 2018 §3.3; ISO 21448 §7</t>
  </si>
  <si>
    <t>OCC-009</t>
  </si>
  <si>
    <t>Detect queued traffic in sags</t>
  </si>
  <si>
    <t>In sag geometries with gradient ≤ −2 %, the SDT shall pre-emptively reduce speed by ≥ 2 m/s below free-flow target unless perception confirms no queued traffic at the sag bottom within SSD(v).</t>
  </si>
  <si>
    <t>Covers OCC-C2 — prevents high-energy rear-end on invisible queue tails.</t>
  </si>
  <si>
    <t>Scenario replay; BiL</t>
  </si>
  <si>
    <t>TC-OCC-009 report</t>
  </si>
  <si>
    <t>AASHTO §3.3.2; ISO 21448 §9.3</t>
  </si>
  <si>
    <t>OCC-010</t>
  </si>
  <si>
    <t>Maintain lateral clearance to static infrastructure</t>
  </si>
  <si>
    <t>The SDT shall maintain a lateral clearance ≥ 1.2 m to persistent static occlusions (barriers, piers, parked vehicles) when passing them at v &gt; 15 m/s.</t>
  </si>
  <si>
    <t>Covers OCC-C3, D2, D3 — prevents secondary hazard from hidden VRU/debris.</t>
  </si>
  <si>
    <t>Closed-course + HIL lateral control tests</t>
  </si>
  <si>
    <t>TC-OCC-010 report</t>
  </si>
  <si>
    <t>AASHTO §10.8; ISO 21448 §7</t>
  </si>
  <si>
    <t>OCC-011</t>
  </si>
  <si>
    <t>Respond to work-zone occlusions</t>
  </si>
  <si>
    <t>When HD-map indicates an active work-zone or when a persistent shoulder barrier is detected, the SDT shall adopt a defensive envelope with (a) speed ≤ posted WZ speed and (b) lane-position bias of ≥ 0.3 m away from the barrier.</t>
  </si>
  <si>
    <t>Covers OCC-D1 and OCC-B5 interaction with work zones.</t>
  </si>
  <si>
    <t>Field log replay; BiL</t>
  </si>
  <si>
    <t>TC-OCC-011 report</t>
  </si>
  <si>
    <t>MUTCD Part 6; ISO 21448 §9.3</t>
  </si>
  <si>
    <t>OCC-012</t>
  </si>
  <si>
    <t>Handle shoulder-parked occluders</t>
  </si>
  <si>
    <t>On detection of a shoulder-parked vehicle within 3 m of the adjacent lane edge, the SDT shall comply with Texas 'move-over' (Texas TRC §545.157) when feasible, else reduce speed by ≥ 2 m/s.</t>
  </si>
  <si>
    <t>Covers OCC-D2 — prevents swipe and handles potential VRU emergence from behind occluder.</t>
  </si>
  <si>
    <t>Field replay + legal-rule unit tests</t>
  </si>
  <si>
    <t>TC-OCC-012 report</t>
  </si>
  <si>
    <t>Texas TRC §545.157; AASHTO §10.8</t>
  </si>
  <si>
    <t>OCC-013</t>
  </si>
  <si>
    <t>Perception range vs visibility</t>
  </si>
  <si>
    <t>Effective perception range R_perc(t) shall be continuously estimated. When R_perc &lt; SSD(v_current), the SDT shall command v_curtain such that SSD(v_curtain) ≤ R_perc.</t>
  </si>
  <si>
    <t>Governs OCC-E1..E4 — ensures the SDT never outruns its sensors in fog, spray, glare, night.</t>
  </si>
  <si>
    <t>HIL visibility sweep; closed-course fog-machine tests</t>
  </si>
  <si>
    <t>TC-OCC-013 report + BiL envelope</t>
  </si>
  <si>
    <t>ISO 21448 §7.3 (trigger conditions); ISO/PAS 8800 §6.3</t>
  </si>
  <si>
    <t>OCC-014</t>
  </si>
  <si>
    <t>Night / dawn / dusk / low-visibility envelope</t>
  </si>
  <si>
    <t>At illumination levels below 10 lux or visibility below 200 m, the SDT shall apply a reduced-speed curtain defined by OCC-013, and additionally increase h_policy(v) by Δh=0.5 s.</t>
  </si>
  <si>
    <t>Legacy requirement (referenced in E2_Scope slide 6 as OCC-014). Retained and made continuous with OCC-013.</t>
  </si>
  <si>
    <t>BiL + closed-course illumination test</t>
  </si>
  <si>
    <t>TC-OCC-014 report</t>
  </si>
  <si>
    <t>DO-Crawl ODD illumination band; SAE J3237 [TBV]; ISO 21448 §7</t>
  </si>
  <si>
    <t>Traceability matrix — OCC requirements ↔ Scenarios ↔ ISO clauses ↔ Torc legacy</t>
  </si>
  <si>
    <t>OCC Req ID</t>
  </si>
  <si>
    <t>Covers scenarios</t>
  </si>
  <si>
    <t>Verifies (hazard)</t>
  </si>
  <si>
    <t>ISO 21448 clause</t>
  </si>
  <si>
    <t>Other std / reg</t>
  </si>
  <si>
    <t>Legacy Torc anchor (JAMA)</t>
  </si>
  <si>
    <t>OCC-A1..A5, D1..D3</t>
  </si>
  <si>
    <t>Undetected occluding actor</t>
  </si>
  <si>
    <t>§9.2</t>
  </si>
  <si>
    <t>ISO/PAS 8800 §6.3</t>
  </si>
  <si>
    <t>TORC-SYSRQ-13828 (superseded on L-scope)</t>
  </si>
  <si>
    <t>OCC-A1..A5, B2, B4, C1..C5</t>
  </si>
  <si>
    <t>Insufficient headway → rear-end</t>
  </si>
  <si>
    <t>§7, §10</t>
  </si>
  <si>
    <t>UN R157 Annex 4 §3.1</t>
  </si>
  <si>
    <t>TORC-SYSRQ-13828 (superseded)</t>
  </si>
  <si>
    <t>OCC-A1..A5</t>
  </si>
  <si>
    <t>Late reaction to cut-out</t>
  </si>
  <si>
    <t>§9.3</t>
  </si>
  <si>
    <t>[TBV — new]</t>
  </si>
  <si>
    <t>Cascaded undersized gap</t>
  </si>
  <si>
    <t>§7.3</t>
  </si>
  <si>
    <t>OCC-B1..B5</t>
  </si>
  <si>
    <t>Missed cut-in detection</t>
  </si>
  <si>
    <t>UN R157 Annex 4</t>
  </si>
  <si>
    <t>[TBV — correlate with existing CIN-* reqs]</t>
  </si>
  <si>
    <t>Congestion cut-in hard-brake collision</t>
  </si>
  <si>
    <t>§10</t>
  </si>
  <si>
    <t>UN R157</t>
  </si>
  <si>
    <t>OCC-B5, C4</t>
  </si>
  <si>
    <t>Forced-merge under-preparation</t>
  </si>
  <si>
    <t>MUTCD Part 6</t>
  </si>
  <si>
    <t>OCC-C1..C3, D3</t>
  </si>
  <si>
    <t>Outrunning geometric sight distance</t>
  </si>
  <si>
    <t>§7</t>
  </si>
  <si>
    <t>AASHTO Green Book 2018 §3.3</t>
  </si>
  <si>
    <t>TORC-GEO-* [TBV]</t>
  </si>
  <si>
    <t>Queue tail at sag bottom</t>
  </si>
  <si>
    <t>AASHTO §3.3.2</t>
  </si>
  <si>
    <t>OCC-C3, D2, D3</t>
  </si>
  <si>
    <t>Secondary hazard from side occluder</t>
  </si>
  <si>
    <t>AASHTO §10.8</t>
  </si>
  <si>
    <t>[TBV — correlate with existing GEO/LAT]</t>
  </si>
  <si>
    <t>OCC-B5, D1</t>
  </si>
  <si>
    <t>Work-zone under-preparation</t>
  </si>
  <si>
    <t>MUTCD 2023 Part 6</t>
  </si>
  <si>
    <t>Shoulder parked occluder</t>
  </si>
  <si>
    <t>Texas TRC §545.157</t>
  </si>
  <si>
    <t>OCC-E1..E4</t>
  </si>
  <si>
    <t>Perception outrun</t>
  </si>
  <si>
    <t>[TBV — correlate with OCC-014 legacy]</t>
  </si>
  <si>
    <t>Low-light / low-visibility</t>
  </si>
  <si>
    <t>SAE J3237 [TBV]</t>
  </si>
  <si>
    <t>OCC-014 (legacy, retained &amp; refined)</t>
  </si>
  <si>
    <t>TRF Scenario Catalog — Sub-activity 2 (Behavior Aligns with Traffic Expectations)</t>
  </si>
  <si>
    <t>17 scenarios grouped in 5 families (A Lane Discipline, B Speed, C Gap Accommodation, D Smooth Trajectory, E Social).</t>
  </si>
  <si>
    <t>Context</t>
  </si>
  <si>
    <t>Expectation challenged</t>
  </si>
  <si>
    <t>Predictability hazard</t>
  </si>
  <si>
    <t>Governing rule/metric</t>
  </si>
  <si>
    <t>TRF-A1</t>
  </si>
  <si>
    <t>A — Lane Discipline</t>
  </si>
  <si>
    <t>Keep-right default</t>
  </si>
  <si>
    <t>No overtake in progress + RL clear</t>
  </si>
  <si>
    <t>— (policy)</t>
  </si>
  <si>
    <t>LL squatting / rolling roadblock</t>
  </si>
  <si>
    <t>Lane occupancy policy</t>
  </si>
  <si>
    <t>ROAD: I-35, 2-lane highway, RL (right) and LL (left). Posted 70 mph (31.3 m/s). Moderate traffic density (LOS C). t=−60s BASELINE: SDT in RL at v=29 m/s, no lead vehicle, no overtake intent. RL traffic density such that free-flow holds. t=−30s LL TRAFFIC: sustained LL flow at v≈32 m/s (slightly above SDT). No closer vehicle in RL than 200 m. t=0 NOMINAL POLICY: SDT remains in RL (TRF-001 keep-right default). Lateral position centered ±0.2 m (TRF-005). OUTCOME: SDT uses LL only for overtake events, aligning with Texas TRC §545.051 and FHWA BC §Lane-Discipline. No unexpected LL occupancy, no 'rolling roadblock' appearance.</t>
  </si>
  <si>
    <t>TRF-001, 005</t>
  </si>
  <si>
    <t>Texas TRC §545.051; FHWA BC §Lane-Discipline</t>
  </si>
  <si>
    <t>TRF-A2</t>
  </si>
  <si>
    <t>Return-to-right after pass</t>
  </si>
  <si>
    <t>Overtake completes (SDT clears OMV by ≥1.5 s)</t>
  </si>
  <si>
    <t>Slow OMV in RL</t>
  </si>
  <si>
    <t>LL-squatting after overtake</t>
  </si>
  <si>
    <t>t_return_RL ≤ 15 s</t>
  </si>
  <si>
    <t>ROAD: I-35, 2-lane. SDT overtakes a slower OMV. t=−10s OVERTAKE INIT: SDT at v=29 m/s in RL behind OMV at v=24 m/s, d=+60 m. Left turn signal activates t=−10s (TRF-008 signal 3 s lead for LC). t=−7s→−4s LC LEFT: SDT crosses to LL, maneuver duration 3 s. t=−4s→+0s PASSING: SDT parallel to OMV, clears OMV front by ≥ 1.5 s headway equivalent (≈44 m). t=+0s→+3s RETURN-TO-RL: Right turn signal at t=0, LC right at t=+3s to +6s. TOTAL time in LL: 13 s (well under t_return_RL=15 s threshold for TRF-002). OUTCOME: overtake completed with prompt return to RL; no LL-squatting.</t>
  </si>
  <si>
    <t>TRF-002, 008</t>
  </si>
  <si>
    <t>Texas TRC §545.051; UN R157 §5.6.2</t>
  </si>
  <si>
    <t>TRF-A3</t>
  </si>
  <si>
    <t>No rolling roadblock</t>
  </si>
  <si>
    <t>SDT in LL at v&lt;posted while RL clear &gt; 5 s</t>
  </si>
  <si>
    <t>Roadblock appearance in LL</t>
  </si>
  <si>
    <t>t_LL_clear_max ≤ 30 s</t>
  </si>
  <si>
    <t>ROAD: I-35, 2-lane, RL clear for &gt;200 m, LL available. t=−30s SDT in LL at v=28 m/s (below posted 70 mph = 31.3), no overtake in progress. t=−30s→t=0 RL MONITOR: SDT perception confirms RL clear and v_sustainable ≥ LL speed. DECISION: TRF-003 forbids holding LL when (i) RL is clear &gt; 5 s and (ii) no active overtake. t=0 TRIGGER: SDT initiates LC to RL at t=0, completes t=+5s. OUTCOME: 'rolling roadblock' avoided. SDT never occupies LL more than t_LL_clear_max = 30 s when RL clear.</t>
  </si>
  <si>
    <t>TRF-003</t>
  </si>
  <si>
    <t>Texas TRC §545.051; FHWA BC</t>
  </si>
  <si>
    <t>TRF-A4</t>
  </si>
  <si>
    <t>Yield to faster vehicle in LL</t>
  </si>
  <si>
    <t>Faster OMV approaches SDT from behind in LL</t>
  </si>
  <si>
    <t>Following vehicle</t>
  </si>
  <si>
    <t>Impeding faster traffic</t>
  </si>
  <si>
    <t>Vacate LL ASAP</t>
  </si>
  <si>
    <t>ROAD: I-35, 2-lane. SDT in LL completing an overtake, faster vehicle OMV2 approaching from behind in LL. t=−8s SDT at v=29 m/s in LL (overtaking slow OMV1 at v=24 in RL). OMV2 in LL at d=−100 m (behind), v=33 m/s, Δv closing. t=−5s DETECTION: SDT perception flags OMV2 closing; TTC at current d ≈ 25 s (non-critical). t=0 RULE: TRF-004 requires SDT to complete LC back to RL as soon as gap to OMV1 allows, not to force OMV2 to brake. t=0→+5s LC RIGHT: SDT returns to RL, signal 3 s lead. OUTCOME: OMV2 passes freely in LL, no constraint imposed. Texas TRC §545.053 (overtake on left) respected.</t>
  </si>
  <si>
    <t>TRF-004</t>
  </si>
  <si>
    <t>Texas TRC §545.053</t>
  </si>
  <si>
    <t>TRF-A5</t>
  </si>
  <si>
    <t>Full-lane placement</t>
  </si>
  <si>
    <t>Nominal cruise in any lane</t>
  </si>
  <si>
    <t>Lateral drift, lane ambiguity</t>
  </si>
  <si>
    <t>|e_lat| ≤ 0.3 m</t>
  </si>
  <si>
    <t>ROAD: I-35, 2-lane, straight, level, no vehicles within 100 m. t=0 CRUISE: SDT in RL at v=29 m/s. METRIC: lateral deviation from lane centerline measured by controller: target 0 m, cap |e_lat|=0.3 m (TRF-005 lane-keep). INTEGRATION WINDOW: 10 s sliding. 95th percentile |e_lat| ≤ 0.2 m. OUTCOME: SDT lane position predictable; observers can rely on centered positioning, no 'drifting' artifacts.</t>
  </si>
  <si>
    <t>TRF-005, 014</t>
  </si>
  <si>
    <t>FMCSA 49 CFR §392.14; ISO 11270</t>
  </si>
  <si>
    <t>TRF-B1</t>
  </si>
  <si>
    <t>B — Speed Management</t>
  </si>
  <si>
    <t>Posted speed compliance</t>
  </si>
  <si>
    <t>Posted limit known, no gradient constraint</t>
  </si>
  <si>
    <t>Signage</t>
  </si>
  <si>
    <t>Under-speed or over-speed</t>
  </si>
  <si>
    <t>v ∈ [posted−5, posted+3] mph</t>
  </si>
  <si>
    <t>ROAD: I-35 posted 70 mph (31.3 m/s), light traffic. t=0 CRUISE: SDT at v=29 m/s in RL (−5 mph from posted). Policy band: [posted−5, posted+3] mph ≈ [29.1, 32.6] m/s. DECISION: SDT ramps +2 m/s² to reach v=30 m/s within 1 s → inside band. OUTCOME: Speed compliance achieved. Not 'rolling roadblock' (TRF-006). Not over-limit (legal). No abrupt change (|j_long| ≤ 2 m/s³ per TRF-013).</t>
  </si>
  <si>
    <t>TRF-006</t>
  </si>
  <si>
    <t>Texas TRC §545.352</t>
  </si>
  <si>
    <t>TRF-B2</t>
  </si>
  <si>
    <t>Flow-match in free-flow</t>
  </si>
  <si>
    <t>Traffic flows above posted at 85th percentile</t>
  </si>
  <si>
    <t>Prevailing flow</t>
  </si>
  <si>
    <t>Anomaly vs. flow</t>
  </si>
  <si>
    <t>dv_flow ≤ 5 m/s</t>
  </si>
  <si>
    <t>ROAD: I-35 posted 70 mph, heavy traffic at 85th percentile flow speed v_flow=34 m/s (≈76 mph, common I-35 Texas). t=0 SDT in RL at v=30 m/s (at posted +0). OBSERVED: flow at 34 m/s; Δv=v_flow−v_SDT=4 m/s &lt; dv_flow=5 m/s threshold → SDT holds posted (TRF-007). ALTERNATIVE: if Δv &gt; 5 m/s and SDT becomes traffic anomaly, HMI can suggest driver take-over, but ADS cannot exceed posted speed +3 mph legally. OUTCOME: compliance with Texas TRC §545.352 (max speed) preserved; flow discontinuity minimized within legal envelope.</t>
  </si>
  <si>
    <t>TRF-007</t>
  </si>
  <si>
    <t>HCM 2016 Ch.12; AAA Foundation</t>
  </si>
  <si>
    <t>TRF-B3</t>
  </si>
  <si>
    <t>Smooth approach to queue</t>
  </si>
  <si>
    <t>Queue tail detected at d ≥ 200 m</t>
  </si>
  <si>
    <t>Stopped/slow traffic</t>
  </si>
  <si>
    <t>Abrupt hard-brake propagation</t>
  </si>
  <si>
    <t>a_queue ≤ 1.5 m/s²</t>
  </si>
  <si>
    <t>ROAD: I-35, queue forming ahead (construction downstream). SDT at v=29 m/s, queue tail visible at d=+300 m, v_tail=0. t=−10s DETECTION: stationary queue detected. t=−10s→t=0 SMOOTH DECELERATION: SDT decels at a_queue_target=1.5 m/s² (TRF-009), v ramps 29→14 m/s over ~10 s, distance covered ~215 m. t=0 JOIN QUEUE: SDT approaches tail at Δv≈0, h_floor=2 s applied. OUTCOME: smooth join, no hard brake visible to traffic behind. |j_long| bounded to 2 m/s³. CONTRAST: the unwanted behavior is last-second hard brake at 5 m/s² — this would propagate rear-end risk upstream.</t>
  </si>
  <si>
    <t>TRF-009, 013</t>
  </si>
  <si>
    <t>UN R157 §5.6.2; NHTSA BC</t>
  </si>
  <si>
    <t>TRF-B4</t>
  </si>
  <si>
    <t>Minimum-speed compliance</t>
  </si>
  <si>
    <t>Gradient or loading forces v below flow</t>
  </si>
  <si>
    <t>SDT engine limit</t>
  </si>
  <si>
    <t>Illegally slow</t>
  </si>
  <si>
    <t>v ≥ 17.9 m/s (40 mph)</t>
  </si>
  <si>
    <t>ROAD: I-35, 2-lane, long uphill grade +5%. SDT is loaded GCVW 80 000 lb, engine-limited speed ~45 mph on grade. t=0 SDT v=20 m/s, posted 70 mph. Flow in RL at 22 m/s (also slowed by grade). RULE CHECK: TRF-008 = Texas TRC §545.351 (minimum 40 mph on Interstate). SDT at v=20 m/s = 44.7 mph → complies. EDGE CASE: if SDT v drops below 17.9 m/s (40 mph) due to grade, hazards activate (handled by SIG — out of TRF scope). OUTCOME: minimum-speed compliance preserved; use of RL keeps faster vehicles free to overtake.</t>
  </si>
  <si>
    <t>TRF-008</t>
  </si>
  <si>
    <t>Texas TRC §545.351</t>
  </si>
  <si>
    <t>TRF-C1</t>
  </si>
  <si>
    <t>C — Gap Accommodation</t>
  </si>
  <si>
    <t>On-ramp merger accommodation</t>
  </si>
  <si>
    <t>V_merge detected with merge intent</t>
  </si>
  <si>
    <t>Merging vehicle</t>
  </si>
  <si>
    <t>Forcing V_merge to stop</t>
  </si>
  <si>
    <t>t_gap ≥ 1.5 s offered</t>
  </si>
  <si>
    <t>ROAD: I-35 with on-ramp merge, 250-m acceleration lane. SDT in RL at v=29 m/s. t=−10s DETECTION: V_merge in acceleration lane at d=+80 m lateral offset 3 m, v=22 m/s (ramp speed). t=−6s INTENT: V_merge signal on, lateral motion begin. TRF-010 mandates SDT offers gap ≥ t_gap_merger=1.5 s (≈44 m at v=29). t=−4s→+0s GAP CREATION: SDT applies |a|≤1.5 m/s² brake, reduces v to 26 m/s to create 1.5 s gap. t=0 MERGE: V_merge enters RL ahead of SDT, h observed ≥ 1.5 s. OUTCOME: cooperative merge; V_merge not forced to stop in acceleration lane.</t>
  </si>
  <si>
    <t>TRF-010</t>
  </si>
  <si>
    <t>AAA Foundation NDS; FHWA BC</t>
  </si>
  <si>
    <t>TRF-C2</t>
  </si>
  <si>
    <t>Zipper merge participation</t>
  </si>
  <si>
    <t>Work-zone LL→RL late-merge taper</t>
  </si>
  <si>
    <t>Alternating merge</t>
  </si>
  <si>
    <t>Zipper lockout</t>
  </si>
  <si>
    <t>t_gap_zipper ≥ 1.0 s</t>
  </si>
  <si>
    <t>ROAD: I-35 work-zone, LL closed, late-merge zipper approach. Flow in RL backed up. t=−20s SDT in RL at v=15 m/s in slow queue. V_zipper in LL next to SDT, v=15 m/s, intending to merge into RL. RULE: TRF-011 (zipper merge) — SDT alternates with LL when they reach the merge taper per MUTCD. t=0 TAPER: SDT opens gap t_gap_zipper=1.0 s (≈15 m) to let V_zipper in. OUTCOME: throughput maintained per MUTCD Part 6C late-merge guidance; no road rage trigger.</t>
  </si>
  <si>
    <t>TRF-011</t>
  </si>
  <si>
    <t>MUTCD 2023 Part 6C; FHWA late-merge</t>
  </si>
  <si>
    <t>TRF-C3</t>
  </si>
  <si>
    <t>Move-over for shoulder emergency</t>
  </si>
  <si>
    <t>Stationary emergency vehicle on shoulder</t>
  </si>
  <si>
    <t>EMV lights</t>
  </si>
  <si>
    <t>Law violation + safety</t>
  </si>
  <si>
    <t>LC left OR d_moveover ≥ 1.2 m</t>
  </si>
  <si>
    <t>ROAD: I-35 shoulder with stopped police vehicle, emergency lights active. SDT in RL approaching. t=−6s DETECTION: stationary emergency vehicle at d=+180 m, lights flashing (Texas TRC §545.157 trigger). t=−4s DECISION: TRF-012 move-over — if LL available and safe, SDT performs LC left (preferred); otherwise decels and provides d_moveover ≥ 1.2 m lateral. t=0 PASSAGE: SDT at v=24 m/s (reduced from 29), either in LL or RL-with-lateral-shift. OUTCOME: move-over compliance; predictable reaction to shoulder activity for following drivers.</t>
  </si>
  <si>
    <t>TRF-012</t>
  </si>
  <si>
    <t>TRF-C4</t>
  </si>
  <si>
    <t>Cooperative upstream yield</t>
  </si>
  <si>
    <t>V_up shows intent to return-to-RL</t>
  </si>
  <si>
    <t>Lateral drift cue</t>
  </si>
  <si>
    <t>Gap-closing behavior</t>
  </si>
  <si>
    <t>Decel to open gap</t>
  </si>
  <si>
    <t>ROAD: I-35, 2-lane, SDT in RL, upstream driver in LL showing progressive rightward drift (intent to return-to-RL from own overtake). t=−5s DETECTION: V_up lateral velocity 0.2 m/s rightward, in LL at d=+25 m (ahead, LL). t=−3s INTENT: SDT perception classifies as 'intent to LC right'. t=0 COOPERATIVE YIELD: SDT applies mild decel to open gap, inviting V_up to complete LC. OUTCOME: cooperative return-to-RL, no 'gap-closing' behavior (SDT does not aggressively accelerate to prevent merge).</t>
  </si>
  <si>
    <t>TRF-002, 010</t>
  </si>
  <si>
    <t>FHWA BC §Cooperation</t>
  </si>
  <si>
    <t>TRF-D1</t>
  </si>
  <si>
    <t>D — Smooth Trajectory</t>
  </si>
  <si>
    <t>Longitudinal jerk bounds</t>
  </si>
  <si>
    <t>Any speed command delta issued</t>
  </si>
  <si>
    <t>Controller output</t>
  </si>
  <si>
    <t>Jerky ride / chattering lamps</t>
  </si>
  <si>
    <t>|j_long| ≤ 2 / 5 m/s³</t>
  </si>
  <si>
    <t>ROAD: I-35 cruise. t=0 SDT at v=29 m/s, commanded decel from policy update: v_target=27 m/s. COMMAND SHAPING: longitudinal controller applies |j_long|=2 m/s³ max (TRF-013). Time to reach v=27 m/s with Δv=2 m/s: depending on a, 1–2 s ramp. OUTCOME: no step-change felt by occupants or visible to following traffic; brake lamps not chattering.</t>
  </si>
  <si>
    <t>TRF-013</t>
  </si>
  <si>
    <t>UN R157 §5.6.2; ISO 11270</t>
  </si>
  <si>
    <t>TRF-D2</t>
  </si>
  <si>
    <t>Lane-keep lateral stability</t>
  </si>
  <si>
    <t>Nominal cruise</t>
  </si>
  <si>
    <t>Lateral controller</t>
  </si>
  <si>
    <t>Wandering lane position</t>
  </si>
  <si>
    <t>ROAD: I-35 straight. t=0 SDT at v=29 m/s, lateral controller holds lane. METRIC: RMS |e_lat| over 30 s window ≤ 0.15 m; 95th percentile ≤ 0.3 m (TRF-014). OUTCOME: lane-keep stability verified; predictable lane occupation to other drivers.</t>
  </si>
  <si>
    <t>TRF-014</t>
  </si>
  <si>
    <t>ISO 11270</t>
  </si>
  <si>
    <t>TRF-E1</t>
  </si>
  <si>
    <t>E — Social/Regulatory</t>
  </si>
  <si>
    <t>Predictable deceleration profile</t>
  </si>
  <si>
    <t>Speed target change in flow</t>
  </si>
  <si>
    <t>Controller ramp</t>
  </si>
  <si>
    <t>Ramp discontinuity, shockwave</t>
  </si>
  <si>
    <t>Piecewise |j|≤2, no step</t>
  </si>
  <si>
    <t>ROAD: I-35 with gradual traffic slowdown (flow from 30 m/s → 20 m/s). t=−10s SDT at v=30 m/s. Flow ahead slowing. t=−10s→t=0 PROGRESSIVE DECEL: SDT reduces v in matching ramp (piecewise linear with |j|≤2 m/s³). OUTCOME: decel profile smooth and visible via brake lamps (SIG); anticipates flow without contributing to shockwave.</t>
  </si>
  <si>
    <t>UN R157 §5.6.2; FHWA BC</t>
  </si>
  <si>
    <t>TRF-E2</t>
  </si>
  <si>
    <t>Appropriate following distance</t>
  </si>
  <si>
    <t>SDT follows OMV in nominal cruise</t>
  </si>
  <si>
    <t>Lead vehicle</t>
  </si>
  <si>
    <t>Tailgating or inviting cut-ins</t>
  </si>
  <si>
    <t>h ∈ [2.0, h_policy] s</t>
  </si>
  <si>
    <t>ROAD: I-35 RL. Following lead OMV at v=29 m/s. RULE: h_policy(29,L=16)=4.37 s for OCC compliance. SOCIAL TENSION: 4.37 s gap is ≥ 126 m, invites cut-ins (see OCC-B3 residual). TRF MITIGATION: during REGIME=free-flow with low LL traffic, SDT can adopt h_policy_soc slightly below OCC envelope only if perception horizon ≥ SSD(v); otherwise OCC wins. OUTCOME: balanced following; not tailgating (TRF-015 forbid h &lt; h_floor=2.0 s) and not inviting cut-ins beyond design envelope.</t>
  </si>
  <si>
    <t>TRF-015</t>
  </si>
  <si>
    <t>Texas TRC §545.062; FHWA BC</t>
  </si>
  <si>
    <t>TRF Requirements — Traffic Expectation Behaviors</t>
  </si>
  <si>
    <t>Behavior family</t>
  </si>
  <si>
    <t>Requirement statement</t>
  </si>
  <si>
    <t>Rationale (SOTIF/UX)</t>
  </si>
  <si>
    <t>Metric / threshold</t>
  </si>
  <si>
    <t>Scenarios governed</t>
  </si>
  <si>
    <t>Source / standard</t>
  </si>
  <si>
    <t>TRF-001</t>
  </si>
  <si>
    <t>A Lane Discipline</t>
  </si>
  <si>
    <t>The SDT SHALL occupy the rightmost lane available (RL) when no overtake is in progress and RL is free of hazards.</t>
  </si>
  <si>
    <t>Conforms with Texas TRC §545.051 'keep-right' rule and FHWA BC §Lane-Discipline. Prevents LL-squatting.</t>
  </si>
  <si>
    <t>LL occupancy time when RL clear ≤ 0 s outside overtake + LC window.</t>
  </si>
  <si>
    <t>TRF-A1, A3</t>
  </si>
  <si>
    <t>Closed-course + simulation; JAMA test TORC-LD-001 [TBV]</t>
  </si>
  <si>
    <t>Texas TRC §545.051; FHWA BC (2018)</t>
  </si>
  <si>
    <t>TRF-002</t>
  </si>
  <si>
    <t>The SDT SHALL return to RL within t_return_RL = 15 s after clearing the overtaken vehicle by ≥ 1.5 s headway.</t>
  </si>
  <si>
    <t>Balances completion safety and courtesy; avoids LL-occupancy beyond the legal pretext of 'overtaking'.</t>
  </si>
  <si>
    <t>time_in_LL − time_overtake_complete ≤ 15 s.</t>
  </si>
  <si>
    <t>TRF-A2, C4</t>
  </si>
  <si>
    <t>Simulation replay; naturalistic-ish testing on DO-Crawl stretch</t>
  </si>
  <si>
    <t>Texas TRC §545.051; internal policy [TBV]</t>
  </si>
  <si>
    <t>The SDT SHALL NOT occupy LL for more than t_LL_clear_max = 30 s when RL is free and no overtake is active.</t>
  </si>
  <si>
    <t>Caps worst-case 'rolling roadblock' perception; internal courtesy rule.</t>
  </si>
  <si>
    <t>LL continuous occupancy ≤ 30 s when RL available.</t>
  </si>
  <si>
    <t>Simulation; closed-course replay</t>
  </si>
  <si>
    <t>Internal Torc policy [TBV]</t>
  </si>
  <si>
    <t>When SDT is in LL and a faster OMV approaches from behind at closing Δv ≥ 2 m/s, SDT SHALL vacate LL as soon as RL gap permits.</t>
  </si>
  <si>
    <t>Texas TRC §545.053 — overtake on left; implies left-lane is reserved for passing.</t>
  </si>
  <si>
    <t>LC-right initiated within 5 s of closing-OMV detection if RL gap ≥ 1.5 s.</t>
  </si>
  <si>
    <t>Simulation + closed-course</t>
  </si>
  <si>
    <t>TRF-005</t>
  </si>
  <si>
    <t>The SDT SHALL maintain its lateral position within ±0.3 m of lane centerline under nominal conditions.</t>
  </si>
  <si>
    <t>Lane-keep predictability for surrounding drivers; ISO 11270 LKA standard.</t>
  </si>
  <si>
    <t>95th percentile |e_lat| ≤ 0.3 m over 30 s window.</t>
  </si>
  <si>
    <t>TRF-A5, D2</t>
  </si>
  <si>
    <t>Closed-course with centimeter-grade reference; logged control data</t>
  </si>
  <si>
    <t>ISO 11270:2014; FMCSA §392.14</t>
  </si>
  <si>
    <t>B Speed Management</t>
  </si>
  <si>
    <t>The SDT SHALL target v ∈ [v_posted − 5 mph, v_posted + 3 mph] on limited-access highway, subject to flow-match rule (TRF-007).</t>
  </si>
  <si>
    <t>Legal compliance (Texas TRC §545.352) + anti-rolling-roadblock.</t>
  </si>
  <si>
    <t>Steady-state v within [posted−5, posted+3] mph for ≥ 95% of cruise window.</t>
  </si>
  <si>
    <t>Naturalistic logs; simulation</t>
  </si>
  <si>
    <t>When prevailing flow exceeds v_posted, the SDT SHALL remain at v_posted + upper tolerance; it SHALL NOT exceed legal max to match flow.</t>
  </si>
  <si>
    <t>Legal priority over flow-match; Δv to flow is tolerated up to dv_flow = 5 m/s before HMI suggests driver take-over.</t>
  </si>
  <si>
    <t>SDT v ≤ v_posted + 3 mph at all times; Δv_flow ≤ 5 m/s reported OK.</t>
  </si>
  <si>
    <t>Naturalistic logs</t>
  </si>
  <si>
    <t>Texas TRC §545.352; HCM 2016</t>
  </si>
  <si>
    <t>The SDT SHALL maintain v ≥ 17.9 m/s (40 mph) on Interstate absent grade limits, breakdown, or law-enforcement direction.</t>
  </si>
  <si>
    <t>Texas TRC §545.351 minimum-speed rule. Engine-limited climb triggers hazard lights (SIG deliverable).</t>
  </si>
  <si>
    <t>v ≥ 17.9 m/s or hazards + deceleration-lane usage active.</t>
  </si>
  <si>
    <t>Simulation grade profile; tracked via HMI state</t>
  </si>
  <si>
    <t>TRF-009</t>
  </si>
  <si>
    <t>When a stopped or slow queue is detected at d ≥ 200 m, the SDT SHALL decelerate smoothly at a_queue ≤ 1.5 m/s² and |j_long| ≤ 2 m/s³.</t>
  </si>
  <si>
    <t>Prevents rear-end shockwave propagation; ride-comfort class.</t>
  </si>
  <si>
    <t>Deceleration profile within 1.5 m/s² nominal, 2 m/s³ jerk bound.</t>
  </si>
  <si>
    <t>TRF-B3, E1</t>
  </si>
  <si>
    <t>Simulation; closed-course with logged a, j</t>
  </si>
  <si>
    <t>UN R157 §5.6.2; NHTSA ADS BC</t>
  </si>
  <si>
    <t>C Gap Accommodation</t>
  </si>
  <si>
    <t>When an on-ramp merging vehicle (V_merge) shows merge intent, the SDT SHALL offer a time-gap of ≥ t_gap_merger = 1.5 s in RL.</t>
  </si>
  <si>
    <t>Cooperation with merging traffic; avoids forcing V_merge to stop in acceleration lane.</t>
  </si>
  <si>
    <t>Minimum t_gap in RL at merge point ≥ 1.5 s in ≥ 95% of cooperative cases.</t>
  </si>
  <si>
    <t>Naturalistic log at I-35 on-ramps; closed-course</t>
  </si>
  <si>
    <t>FHWA BC; AAA Foundation studies</t>
  </si>
  <si>
    <t>In late-merge work-zone conditions, the SDT SHALL participate in zipper-merge by alternating acceptance of LL→RL vehicles, offering t_gap_zipper ≥ 1.0 s.</t>
  </si>
  <si>
    <t>MUTCD 2023 Part 6C late-merge policy; preserves WZ throughput.</t>
  </si>
  <si>
    <t>Alternation ratio ≈ 1:1 at merge taper; t_gap_zipper respected.</t>
  </si>
  <si>
    <t>WZ test track + field deploy with monitoring</t>
  </si>
  <si>
    <t>MUTCD 2023 Part 6C; FHWA</t>
  </si>
  <si>
    <t>When a stationary emergency/service vehicle is detected on the shoulder, the SDT SHALL move to LL if safely possible, else reduce speed and maintain lateral clearance d_moveover ≥ 1.2 m.</t>
  </si>
  <si>
    <t>Texas TRC §545.157 'Move-Over'.</t>
  </si>
  <si>
    <t>LC-left executed OR v reduced by ≥ 10 mph AND d_moveover ≥ 1.2 m.</t>
  </si>
  <si>
    <t>Closed-course scripted scenario; field logs</t>
  </si>
  <si>
    <t>D Smooth Trajectory</t>
  </si>
  <si>
    <t>The SDT SHALL bound longitudinal jerk to |j_long| ≤ 2 m/s³ nominal and ≤ 5 m/s³ emergency.</t>
  </si>
  <si>
    <t>Ride-comfort and brake-lamp signal coherence (SIG interface); UN R157 guidance.</t>
  </si>
  <si>
    <t>|j_long| measured from IMU ≤ bound in 99th percentile.</t>
  </si>
  <si>
    <t>TRF-D1, E1</t>
  </si>
  <si>
    <t>Closed-course with IMU logging; controller calibration</t>
  </si>
  <si>
    <t>UN R157 §5.6.2</t>
  </si>
  <si>
    <t>The SDT SHALL bound lateral jerk |j_lat| ≤ 1.5 m/s³ during nominal lane-keep and LC maneuvers.</t>
  </si>
  <si>
    <t>ISO 11270 LKA comfort/accuracy; also reduces trailer-swing amplitude on Class 8.</t>
  </si>
  <si>
    <t>|j_lat| from IMU ≤ 1.5 m/s³ in 99th percentile.</t>
  </si>
  <si>
    <t>Closed-course LC library</t>
  </si>
  <si>
    <t>ISO 11270:2014</t>
  </si>
  <si>
    <t>E Social/Regulatory</t>
  </si>
  <si>
    <t>The SDT SHALL NOT maintain h &lt; h_floor = 2.0 s to any lead vehicle; SDT SHALL also NOT maintain h &gt; h_policy(v)+0.5 s absent justification (perception degradation, WZ, slope).</t>
  </si>
  <si>
    <t>Dual bound: no tailgating (Texas TRC §545.062) AND no excessive gap (cut-in invitation).</t>
  </si>
  <si>
    <t>h ∈ [2.0, h_policy(v)+0.5] s under nominal conditions.</t>
  </si>
  <si>
    <t>Simulation + naturalistic logs</t>
  </si>
  <si>
    <t>TRF Parameter Matrix — parameters varied per scenario</t>
  </si>
  <si>
    <t>Scenario ID</t>
  </si>
  <si>
    <t>v_SDT (m/s)</t>
  </si>
  <si>
    <t>v_flow (m/s)</t>
  </si>
  <si>
    <t>t_LC_signal (s)</t>
  </si>
  <si>
    <t>t_gap_merger (s)</t>
  </si>
  <si>
    <t>Posted (mph)</t>
  </si>
  <si>
    <t>Comments</t>
  </si>
  <si>
    <t>Nominal keep-right, LL faster flow</t>
  </si>
  <si>
    <t>Overtake complete at 15 s in LL</t>
  </si>
  <si>
    <t>RL clear &gt; 5 s → LC right</t>
  </si>
  <si>
    <t>Faster OMV in LL; SDT yields</t>
  </si>
  <si>
    <t>Static lane-keep</t>
  </si>
  <si>
    <t>Ramp +1 m/s to 30 m/s inside band</t>
  </si>
  <si>
    <t>Δv_flow=4 &lt; 5; stay at posted</t>
  </si>
  <si>
    <t>Smooth queue approach</t>
  </si>
  <si>
    <t>Loaded grade +5 %</t>
  </si>
  <si>
    <t>On-ramp merger at d=80 m</t>
  </si>
  <si>
    <t>WZ zipper</t>
  </si>
  <si>
    <t>EMV on shoulder, LC-left priority</t>
  </si>
  <si>
    <t>Upstream V wanting to return-to-RL</t>
  </si>
  <si>
    <t>Longitudinal jerk bound</t>
  </si>
  <si>
    <t>Lateral jerk / e_lat bound</t>
  </si>
  <si>
    <t>Progressive flow decel</t>
  </si>
  <si>
    <t>Following h policy band</t>
  </si>
  <si>
    <t>TRF ODD Mapping — ODD elements covered by TRF scenarios</t>
  </si>
  <si>
    <t>ODD element</t>
  </si>
  <si>
    <t>TRF scenarios covering</t>
  </si>
  <si>
    <t>Limited-access highway (Interstate)</t>
  </si>
  <si>
    <t>TRF-A1..E2</t>
  </si>
  <si>
    <t>Entire TRF scope; urban/arterial excluded.</t>
  </si>
  <si>
    <t>2 (RL + LL)</t>
  </si>
  <si>
    <t>TRF-A1..A5, C1..C4</t>
  </si>
  <si>
    <t>Keep-right policy, overtake, LC-left for pass.</t>
  </si>
  <si>
    <t>Speed range (ODD)</t>
  </si>
  <si>
    <t>0–30.4 m/s (0–68 mph)</t>
  </si>
  <si>
    <t>TRF-B1..B4</t>
  </si>
  <si>
    <t>Covers free-flow, transition, congestion regimes.</t>
  </si>
  <si>
    <t>Posted speed</t>
  </si>
  <si>
    <t>55–70 mph</t>
  </si>
  <si>
    <t>TRF-B1..B2, B4</t>
  </si>
  <si>
    <t>Different posted values trigger different bands.</t>
  </si>
  <si>
    <t>Minimum-speed rule</t>
  </si>
  <si>
    <t>40 mph (Texas TRC §545.351)</t>
  </si>
  <si>
    <t>Grade + loaded scenario.</t>
  </si>
  <si>
    <t>Traffic density</t>
  </si>
  <si>
    <t>LOS A–D</t>
  </si>
  <si>
    <t>TRF-B2, C1, C2</t>
  </si>
  <si>
    <t>Zipper in congestion; flow-match in LOS C/D.</t>
  </si>
  <si>
    <t>Emergency vehicles</t>
  </si>
  <si>
    <t>On shoulder (Texas TRC §545.157)</t>
  </si>
  <si>
    <t>Move-over law.</t>
  </si>
  <si>
    <t>Late-merge behavior.</t>
  </si>
  <si>
    <t>On-ramps</t>
  </si>
  <si>
    <t>I-35 standard geometry</t>
  </si>
  <si>
    <t>Acceleration-lane merger accommodation.</t>
  </si>
  <si>
    <t>Grade</t>
  </si>
  <si>
    <t>0 to ±5 %</t>
  </si>
  <si>
    <t>Upgrade slows loaded Class 8.</t>
  </si>
  <si>
    <t>VRU (pedestrians/cycl.)</t>
  </si>
  <si>
    <t>N/A (I-35 ODD excludes VRU access)</t>
  </si>
  <si>
    <t>— (out of scope)</t>
  </si>
  <si>
    <t>Per user confirmation, TRF excludes VRU.</t>
  </si>
  <si>
    <t>V2X / DSRC</t>
  </si>
  <si>
    <t>N/A (not in DO-Crawl scope)</t>
  </si>
  <si>
    <t>Per user confirmation.</t>
  </si>
  <si>
    <t>Horn use</t>
  </si>
  <si>
    <t>N/A (out of scope)</t>
  </si>
  <si>
    <t>SIG Scenario Catalog — Sub-activity 3 (Intention Signaling is Timely &amp; Appropriate)</t>
  </si>
  <si>
    <t>15 scenarios grouped in 5 families (A Turn Signals, B Brake Lights, C Hazards/MRC, D Conspicuity/Marker Lamps, E Degraded-mode).</t>
  </si>
  <si>
    <t>Predictability / perception hazard</t>
  </si>
  <si>
    <t>SIG-A1</t>
  </si>
  <si>
    <t>A — Turn Signals</t>
  </si>
  <si>
    <t>LC lead time (nominal)</t>
  </si>
  <si>
    <t>Free-flow overtake</t>
  </si>
  <si>
    <t>SDT decides overtake</t>
  </si>
  <si>
    <t>Timely intent broadcast</t>
  </si>
  <si>
    <t>Late signal perceived as 'cut-in'</t>
  </si>
  <si>
    <t>t_sig_lead ≥ 3 s, Texas TRC §545.104</t>
  </si>
  <si>
    <t>ROAD: I-35, 2-lane, posted 70 mph. SDT in RL at v=29 m/s, OMV ahead at v=24 m/s, d=+60 m (closing). SDT decides to overtake. t=−3s SIGNAL ON: Left turn signal activated at t=−3s (t_sig_lead=3.0 s, d=87 m before LC onset). t=−1s STEADY BLINK: signal flashes at f_sig_flash=1.5 Hz, cycle N=4.5 flashes visible to following traffic. t=0 LC ONSET: SDT initiates lateral motion toward LL. Signal remains ON. t=+3s LC COMPLETE: SDT centered in LL (heading error ≤ 1°). Signal-off command issued at t=+3.0 + t_sig_auto_off(1.0)=+4.0 s max. OUTCOME: clean timely signaling (≥ 3 s pre-signal), no 'signal-after-intent', no blinker-left-on.</t>
  </si>
  <si>
    <t>SIG-001, 003, 004</t>
  </si>
  <si>
    <t>Texas TRC §545.104; FMVSS 108 S7.8; SAE J3016</t>
  </si>
  <si>
    <t>SIG-A2</t>
  </si>
  <si>
    <t>Merge-courtesy signal</t>
  </si>
  <si>
    <t>On-ramp merger present</t>
  </si>
  <si>
    <t>SDT moves from LL to RL for merger</t>
  </si>
  <si>
    <t>Courtesy LC intent</t>
  </si>
  <si>
    <t>Missed courtesy → perceived aggression</t>
  </si>
  <si>
    <t>t_sig_lead ≥ 3 s</t>
  </si>
  <si>
    <t>ROAD: on-ramp joining I-35 RL. SDT in LL travelling at v=29 m/s. Merge traffic entering from ramp. t=−5s DETECT: SDT perception confirms clear RL gap behind incoming merger; decides to move right to accommodate. t=−3s SIGNAL ON: Right turn signal ON (t_sig_lead=3 s). t=0 LC RIGHT: SDT executes LC to RL, signal ON throughout. t=+3s LC COMPLETE: SDT centered RL, signal OFF within 1 s. OUTCOME: merger sees right-signal intent 3 s in advance, can predict SDT's courtesy move.</t>
  </si>
  <si>
    <t>SIG-001, 002</t>
  </si>
  <si>
    <t>Texas TRC §545.104; FHWA BC</t>
  </si>
  <si>
    <t>SIG-A3</t>
  </si>
  <si>
    <t>Exit signaling</t>
  </si>
  <si>
    <t>Off-ramp approach</t>
  </si>
  <si>
    <t>SDT exiting at gore</t>
  </si>
  <si>
    <t>Early exit intent</t>
  </si>
  <si>
    <t>Late signal forces lane-change cascade downstream</t>
  </si>
  <si>
    <t>d_sig_exit ≥ 150 m</t>
  </si>
  <si>
    <t>ROAD: off-ramp approach, 2-lane I-35. Exit gore at X=0. SDT exiting. t=−5s (d=150m) SIGNAL ON: Right turn signal activated at d_sig_exit=150 m before gore — consistent with AASHTO taper length + driver PIEV. t=−3s (d=90m): SDT begins lateral drift toward exit lane. t=−1s (d=30m): SDT in exit lane, signal ON. t=0 GORE: SDT enters off-ramp, signal OFF when heading aligned with ramp geometry (≈ 2 s into curve). OUTCOME: exit intent communicated early enough for through-traffic to anticipate and close gap behind.</t>
  </si>
  <si>
    <t>SIG-002</t>
  </si>
  <si>
    <t>AASHTO Ch.10; Texas TRC §545.104</t>
  </si>
  <si>
    <t>SIG-A4</t>
  </si>
  <si>
    <t>Abort-late-signal</t>
  </si>
  <si>
    <t>Dense LOS D</t>
  </si>
  <si>
    <t>LC attempted with &lt;2 s pre-signal</t>
  </si>
  <si>
    <t>Predictability</t>
  </si>
  <si>
    <t>'Signal after intent' confusion</t>
  </si>
  <si>
    <t>t_sig_min_pre ≥ 2 s</t>
  </si>
  <si>
    <t>ROAD: high-density LOS D segment on I-35, SDT in RL preparing overtake. t=0 LC ATTEMPT: SDT commits lateral motion but signal activated only at t=−1s (below t_sig_min_pre=2 s). FAILURE MODE: other drivers perceive 'signal-after-intent'; following drivers in LL brake reactively. DETECTION: internal HMI supervisor flags 'SIG-A late-signal' event. OUTCOME (required): SDT SHALL abort or delay LC so that t_sig_lead ≥ t_sig_min_pre is respected (SIG-003).</t>
  </si>
  <si>
    <t>SIG-003</t>
  </si>
  <si>
    <t>SAE J3016 intent rules</t>
  </si>
  <si>
    <t>SIG-A5</t>
  </si>
  <si>
    <t>Auto-off discipline</t>
  </si>
  <si>
    <t>Post-LC</t>
  </si>
  <si>
    <t>LC completed</t>
  </si>
  <si>
    <t>Clear end-of-intent</t>
  </si>
  <si>
    <t>Blinker-left-on confusion</t>
  </si>
  <si>
    <t>t_sig_auto_off ≤ 1.0 s</t>
  </si>
  <si>
    <t>ROAD: SDT finishes a lane change, now centered in target lane, heading aligned. t=0 LC COMPLETE. t=+0.5s: turn signal still ON (expected). t=+1.0s (= t_sig_auto_off): signal OFF command issued; annunciator logs event. FAILURE MODE (not allowed): if signal remains ON &gt; 3 s post-completion, other drivers infer 'another LC coming' → confusion. OUTCOME (required): signal auto-off within t_sig_auto_off=1.0 s (SIG-004).</t>
  </si>
  <si>
    <t>SIG-004</t>
  </si>
  <si>
    <t>UN R48 §6.5; FMVSS 108</t>
  </si>
  <si>
    <t>SIG-B1</t>
  </si>
  <si>
    <t>B — Brake Lights</t>
  </si>
  <si>
    <t>Light-brake visibility</t>
  </si>
  <si>
    <t>Cruise headway adj</t>
  </si>
  <si>
    <t>Light decel 0.6 m/s²</t>
  </si>
  <si>
    <t>Visibility of small decel</t>
  </si>
  <si>
    <t>Following traffic not warned</t>
  </si>
  <si>
    <t>a_brk_on=0.5 m/s²; t_brk_min=0.3 s</t>
  </si>
  <si>
    <t>ROAD: SDT in free-flow, cruise at 29 m/s. OMV ahead 150 m away. SDT begins light deceleration (a=0.6 m/s²) for headway maintenance. t=0 BRAKE COMMAND: ADS longitudinal controller applies light brake. t=+0.05s BRAKE LAMP ON: brake lamps activate (a &gt; a_brk_on=0.5 m/s² threshold). t=+0.4s: SDT decel ends, brake released — lamps remain ON for t_brk_min=0.30 s minimum (to be perceivable). t=+0.7s: brake lamps OFF. OUTCOME: short-duration brake events still visible to following traffic.</t>
  </si>
  <si>
    <t>SIG-005</t>
  </si>
  <si>
    <t>FMVSS 108; UN R48 §6.7</t>
  </si>
  <si>
    <t>SIG-B2</t>
  </si>
  <si>
    <t>ESS hard-brake signaling</t>
  </si>
  <si>
    <t>Emergency decel</t>
  </si>
  <si>
    <t>a &gt; 6 m/s²</t>
  </si>
  <si>
    <t>Rear-end collision hazard</t>
  </si>
  <si>
    <t>Following driver late reaction</t>
  </si>
  <si>
    <t>UN R13 §5.2.1.31 ESS; 4 Hz flash</t>
  </si>
  <si>
    <t>ROAD: SDT in cruise at 29 m/s, unexpected hard-brake event (a=8 m/s² — e.g., OCC-B3 cut-out + obstacle). t=0 HARD BRAKE: a_brake rises past a_ess_on=6 m/s² threshold (UN R13 §5.2.1.31). t=+0.02s ESS ACTIVATES: brake lamps switch from steady to flashing at f_ess_flash=4.0 Hz. t=+1.5s: a_brake drops below a_ess_off=2.5 m/s² — ESS deactivates, lamps return to steady or OFF depending on brake command. OUTCOME: emergency stop signaled to following traffic per UN R13 ESS — reduces rear-end collision probability (Kallhammer 2010 EU study: −21% rear-end crashes with ESS).</t>
  </si>
  <si>
    <t>SIG-006</t>
  </si>
  <si>
    <t>UN R13 ESS; Kallhammer 2010</t>
  </si>
  <si>
    <t>SIG-B3</t>
  </si>
  <si>
    <t>Brake release signaling</t>
  </si>
  <si>
    <t>Queue approach</t>
  </si>
  <si>
    <t>Brake released</t>
  </si>
  <si>
    <t>Driver relaxation cue</t>
  </si>
  <si>
    <t>Phantom-brake confusion</t>
  </si>
  <si>
    <t>lamps OFF within 0.3 s of release</t>
  </si>
  <si>
    <t>ROAD: SDT braking continuously (a=3 m/s²) during a long queue approach; brake lamps ON steady. t=0 BRAKE RELEASE: controller eases brake (a → 0.3 m/s²). t=+0.05s (a &lt; a_brk_on=0.5 m/s²): brake lamps OFF command. OUTCOME: following driver sees brake release, can relax their own input. No 'phantom brake' residual illumination.</t>
  </si>
  <si>
    <t>FMVSS 108</t>
  </si>
  <si>
    <t>SIG-C1</t>
  </si>
  <si>
    <t>C — Hazards / MRC</t>
  </si>
  <si>
    <t>MRC hazard activation</t>
  </si>
  <si>
    <t>Perception degradation</t>
  </si>
  <si>
    <t>MRC commanded</t>
  </si>
  <si>
    <t>Distress signaling</t>
  </si>
  <si>
    <t>'Silent MRC' → surprise stop</t>
  </si>
  <si>
    <t>t_haz_lead=3 s; t_haz_min=30 s</t>
  </si>
  <si>
    <t>ROAD: SDT commanded to MRC (minimum risk condition) due to perception degradation. Target: decel + shoulder pull. t=−3s HAZARDS ON: Hazard 4-way warning activated t_haz_lead=3 s before lateral drift toward shoulder. t=0 LATERAL: SDT begins drift right toward paved shoulder, hazards flashing at f_ess_flash=4.0 Hz equivalent. t=+8s STOP: SDT at 0 m/s on shoulder. Hazards maintained for t_haz_min=30 s minimum. OUTCOME: traffic behind and adjacent perceives distress intent early — no 'silent MRC'.</t>
  </si>
  <si>
    <t>SIG-007</t>
  </si>
  <si>
    <t>ISO/PAS 23374 DDT fallback</t>
  </si>
  <si>
    <t>SIG-C2</t>
  </si>
  <si>
    <t>Resume-from-MRC</t>
  </si>
  <si>
    <t>Post-MRC, cleared</t>
  </si>
  <si>
    <t>Remote supervisor clears</t>
  </si>
  <si>
    <t>Transition back to normal</t>
  </si>
  <si>
    <t>Hazards-on while moving confuses</t>
  </si>
  <si>
    <t>hazards OFF once in-lane + centered</t>
  </si>
  <si>
    <t>ROAD: SDT stopped on shoulder (post-MRC), hazards flashing. Remote supervisor arrives. t=0 RESUME COMMAND (remote): supervisor clears to re-enter traffic. t=+3s: SDT signals LEFT (entering LL from shoulder), hazards still ON. t=+5s LC CONFIRMED: hazards OFF once SDT re-centered in traffic lane. OUTCOME: distinct phase between MRC-stopped and resumed service — other drivers see hazards stop = SDT back to normal service.</t>
  </si>
  <si>
    <t>ISO/PAS 23374</t>
  </si>
  <si>
    <t>SIG-C3</t>
  </si>
  <si>
    <t>No false hazard in queue</t>
  </si>
  <si>
    <t>Normal queue stop</t>
  </si>
  <si>
    <t>SDT decelerates to 0 in queue</t>
  </si>
  <si>
    <t>False-alarm avoidance</t>
  </si>
  <si>
    <t>Hazards desensitize following traffic</t>
  </si>
  <si>
    <t>Hazards SHALL NOT trigger for normal queue</t>
  </si>
  <si>
    <t>ROAD: SDT in a stopped traffic queue (controlled, not MRC). t=0 STOP: SDT decelerates to 0 m/s as part of normal queue. Brake lamps ON steady. REQUIRED: hazards SHALL NOT activate for normal traffic-queue stops (false-alarm to following drivers). OUTCOME: hazards reserved for exceptional conditions (MRC, ESS-residual, emergency stop) (SIG-008).</t>
  </si>
  <si>
    <t>SIG-008</t>
  </si>
  <si>
    <t>UN R48 policy guidance</t>
  </si>
  <si>
    <t>SIG-D1</t>
  </si>
  <si>
    <t>D — Conspicuity</t>
  </si>
  <si>
    <t>Marker-lamp fault detection</t>
  </si>
  <si>
    <t>Dusk free-flow</t>
  </si>
  <si>
    <t>Side-marker fails</t>
  </si>
  <si>
    <t>Conspicuity availability</t>
  </si>
  <si>
    <t>Silent lamp failure → under-visible SDT</t>
  </si>
  <si>
    <t>t_sig_fail ≤ 0.5 s</t>
  </si>
  <si>
    <t>ROAD: I-35 at dusk, SDT traveling at v=29 m/s. Class 8 SDT has required marker lamps (front/rear/side) per 49 CFR §393.9/11/20. MONITORING: E/E supervisor continuously monitors each lamp (current draw or photometric). t=0 LAMP FAULT: side-marker lamp (mid-trailer LH) fails open-circuit. t=+0.5s FAULT ANNUNCIATED: within t_sig_fail=0.5 s, fault reported to remote supervisor + ADS policy set to 'degraded'. OUTCOME: operator notified, corrective action scheduled; SDT remains safe thanks to redundancy (multiple marker lamps along length).</t>
  </si>
  <si>
    <t>SIG-009, 011</t>
  </si>
  <si>
    <t>49 CFR §393.11; §393.20</t>
  </si>
  <si>
    <t>SIG-D2</t>
  </si>
  <si>
    <t>Night conspicuity conformity</t>
  </si>
  <si>
    <t>Night cruise</t>
  </si>
  <si>
    <t>Sun ½h below horizon</t>
  </si>
  <si>
    <t>Legal conspicuity</t>
  </si>
  <si>
    <t>Non-conformity hazard</t>
  </si>
  <si>
    <t>All marker/clearance ON per §393.9</t>
  </si>
  <si>
    <t>ROAD: I-35 night, reduced visibility. All lamps functional. SDT traveling at v=29 m/s. REQUIRED: front/rear/side marker, clearance, identification lamps all ON per 49 CFR §393.9(a)(2) (½ hour after sunset to ½ hour before sunrise). OUTCOME: conspicuity maintained; conformity with FMVSS 108 photometric envelope. Required duty cycle ≥ duty_marker=99%.</t>
  </si>
  <si>
    <t>SIG-010</t>
  </si>
  <si>
    <t>49 CFR §393.9; FMVSS 108</t>
  </si>
  <si>
    <t>SIG-E1</t>
  </si>
  <si>
    <t>E — Degraded Mode</t>
  </si>
  <si>
    <t>Turn-lamp fault LC abort</t>
  </si>
  <si>
    <t>LC commanded</t>
  </si>
  <si>
    <t>Turn bulb fails</t>
  </si>
  <si>
    <t>Signal integrity</t>
  </si>
  <si>
    <t>Blind LC with failed signal</t>
  </si>
  <si>
    <t>a_deg_max=2.0 m/s²; LC abort policy</t>
  </si>
  <si>
    <t>ROAD: SDT in free-flow, left turn signal commanded but LH turn bulb fails. t=0 SIGNAL COMMAND: controller commands left signal ON. t=+0.3s FAULT: current-monitor detects open-circuit on LH front or rear turn lamp. t=+0.5s: ADS enters degraded-signaling mode (a_deg_max=2.0 m/s² cap), remote supervisor notified, LC aborted or performed with extra lateral margin + declared pre-notification [TBV policy]. OUTCOME: no blind LC with failed signal. Handover to MRC if fault persists beyond policy threshold.</t>
  </si>
  <si>
    <t>SIG-012, 013</t>
  </si>
  <si>
    <t>ISO/PAS 23374; UN R79</t>
  </si>
  <si>
    <t>SIG-E2</t>
  </si>
  <si>
    <t>Brake-lamp redundancy</t>
  </si>
  <si>
    <t>Cruise</t>
  </si>
  <si>
    <t>One rear brake lamp fails</t>
  </si>
  <si>
    <t>Graceful degradation</t>
  </si>
  <si>
    <t>Loss of rear signaling visibility</t>
  </si>
  <si>
    <t>speed cap + MRC proximity policy</t>
  </si>
  <si>
    <t>ROAD: dual-lamp redundancy on rear (each side). One rear brake lamp fails. t=0 FAULT. Redundancy: opposite-side lamp still operates. REQUIRED: SDT continues service at reduced envelope (speed cap + distance-to-nearest-exit criterion), fault logged, repair scheduled. OUTCOME: graceful degradation rather than emergency MRC — aligns with ISO/PAS 23374 DDT fallback logic [TBV].</t>
  </si>
  <si>
    <t>SIG-013</t>
  </si>
  <si>
    <t>49 CFR §393.9; FMVSS 108 redundancy</t>
  </si>
  <si>
    <t>SIG Requirements — Intention Signaling (sub-activity 3)</t>
  </si>
  <si>
    <t>Scenarios</t>
  </si>
  <si>
    <t>Verification</t>
  </si>
  <si>
    <t>Source</t>
  </si>
  <si>
    <t>SIG-001</t>
  </si>
  <si>
    <t>A Turn Signals</t>
  </si>
  <si>
    <t>The SDT SHALL activate the appropriate turn signal at least t_sig_lead=3.0 s before any lane-change, merge, or exit maneuver.</t>
  </si>
  <si>
    <t>Timely intent broadcast is critical to predictability (ISO 21448 §7.3). Texas TRC §545.104 prescribes 100 ft (~1 s at 29 m/s); ADS adopts ≥3 s for Class 8.</t>
  </si>
  <si>
    <t>pre_signal_time ≥ 3.0 s ; ≥ 30 m at v_SDT ≥ 20 m/s</t>
  </si>
  <si>
    <t>SIG-A1, A2, A3</t>
  </si>
  <si>
    <t>BiL Signaling + simulation replay</t>
  </si>
  <si>
    <t>The SDT SHALL maintain the turn signal active throughout the lateral maneuver and deactivate it within t_sig_auto_off=1.0 s after heading re-alignment.</t>
  </si>
  <si>
    <t>Avoids 'blinker-left-on' confusion (FHWA BC §Signaling) that following drivers misinterpret as upcoming further LC.</t>
  </si>
  <si>
    <t>signal_ON during 100% of lateral phase; OFF ≤ 1.0 s post-alignment</t>
  </si>
  <si>
    <t>SIG-A1, A2, A5</t>
  </si>
  <si>
    <t>UN R48 §6.5; FMVSS 108 S7.8</t>
  </si>
  <si>
    <t>The SDT SHALL NOT commit to lateral motion until the turn signal has been active for at least t_sig_min_pre=2.0 s.</t>
  </si>
  <si>
    <t>Prevents 'signal-after-intent' perceived as cut-in. Protects against race conditions in controller.</t>
  </si>
  <si>
    <t>lateral_commit_latency ≥ 2.0 s after signal-ON</t>
  </si>
  <si>
    <t>BiL Signaling (interlock test)</t>
  </si>
  <si>
    <t>Torc HMI spec [TBV]; SAE J3016</t>
  </si>
  <si>
    <t>The SDT SHALL terminate the turn signal automatically when (a) lateral heading error &lt; 1° for ≥ 0.5 s, or (b) the commanded maneuver has been cancelled.</t>
  </si>
  <si>
    <t>Deterministic auto-off logic; removes operator-workload and ensures no stale intent displayed.</t>
  </si>
  <si>
    <t>heading_threshold=1°, hold_time=0.5 s</t>
  </si>
  <si>
    <t>BiL Signaling + unit test</t>
  </si>
  <si>
    <t>FMVSS 108 S7.8</t>
  </si>
  <si>
    <t>B Brake Lights</t>
  </si>
  <si>
    <t>The SDT SHALL activate the brake lamps whenever commanded deceleration exceeds a_brk_on=0.5 m/s², and maintain them ON for a minimum t_brk_min=0.30 s even for shorter transients.</t>
  </si>
  <si>
    <t>Following traffic must perceive all brake events; FMVSS 108 mandates brake lamp illumination on brake application.</t>
  </si>
  <si>
    <t>a &gt; 0.5 m/s² → lamps ON; min duration 0.30 s</t>
  </si>
  <si>
    <t>SIG-B1, B3</t>
  </si>
  <si>
    <t>BiL Signaling + HIL photometric</t>
  </si>
  <si>
    <t>The SDT SHALL activate the Emergency Stop Signal (brake lamps flashing at 4.0 ± 1.0 Hz) whenever deceleration exceeds a_ess_on=6.0 m/s² and deactivate it when deceleration drops below a_ess_off=2.5 m/s².</t>
  </si>
  <si>
    <t>Reduces rear-end collision risk. UN R13 §5.2.1.31 thresholds and frequency band mandatory.</t>
  </si>
  <si>
    <t>a ≥ 6 m/s² → ESS ON; a &lt; 2.5 m/s² → ESS OFF; f=4±1 Hz</t>
  </si>
  <si>
    <t>BiL Signaling (decel injection) + photometric</t>
  </si>
  <si>
    <t>UN R13 §5.2.1.31; UN R13H §5.2.22</t>
  </si>
  <si>
    <t>C Hazards / MRC</t>
  </si>
  <si>
    <t>The SDT SHALL activate hazard warning flashers at least t_haz_lead=3.0 s before entering a minimum-risk-condition stop and maintain them for at least t_haz_min=30 s after reaching 0 m/s.</t>
  </si>
  <si>
    <t>Communicates distress intent early to following and adjacent traffic (ISO/PAS 23374 DDT fallback).</t>
  </si>
  <si>
    <t>hazards_ON ≥ 3 s before lateral MRC drift; ≥ 30 s post-stop</t>
  </si>
  <si>
    <t>SIG-C1, C2</t>
  </si>
  <si>
    <t>BiL Signaling + closed-course MRC demo</t>
  </si>
  <si>
    <t>ISO/PAS 23374; UN R48 §6.4; 49 CFR §392.22</t>
  </si>
  <si>
    <t>The SDT SHALL NOT activate hazard warning flashers for normal traffic-queue stops or planned scheduled stops.</t>
  </si>
  <si>
    <t>False-hazard usage desensitizes following drivers and violates UN R48 guidance on emergency-only usage.</t>
  </si>
  <si>
    <t>zero false-hazard events in queue-approach replay set</t>
  </si>
  <si>
    <t>Simulation replay + field observation</t>
  </si>
  <si>
    <t>UN R48 §6.4 policy; 49 CFR §392.22 interpretation</t>
  </si>
  <si>
    <t>SIG-009</t>
  </si>
  <si>
    <t>D Conspicuity</t>
  </si>
  <si>
    <t>The SDT E/E supervisor SHALL detect a failure in any regulated marker/clearance/ID lamp within t_sig_fail=0.5 s and report to the remote supervisor.</t>
  </si>
  <si>
    <t>Maintains conspicuity compliance under 49 CFR §393.9/11/20. Silent lamp failure removes SDT from legal operating envelope.</t>
  </si>
  <si>
    <t>detection_latency ≤ 0.5 s; false-negative rate ≤ 1E-4</t>
  </si>
  <si>
    <t>HIL lamp-fault injection</t>
  </si>
  <si>
    <t>49 CFR §393.9, §393.11, §393.20</t>
  </si>
  <si>
    <t>The SDT SHALL maintain all 49 CFR §393-required marker, clearance, and identification lamps active during nighttime operation (sunset ½ h after → sunrise ½ h before) and under reduced-visibility conditions.</t>
  </si>
  <si>
    <t>Legal requirement. Conspicuity under low-light is a known OCC hazard.</t>
  </si>
  <si>
    <t>all required lamps ON during night window; duty_marker ≥ 99%</t>
  </si>
  <si>
    <t>Field observation + HIL</t>
  </si>
  <si>
    <t>49 CFR §393.9(a)(2); FMVSS 108 photometric</t>
  </si>
  <si>
    <t>SIG-011</t>
  </si>
  <si>
    <t>The side-marker and clearance lamps of the SDT trailer combination SHALL be spaced at intervals not exceeding 4.88 m (16 ft).</t>
  </si>
  <si>
    <t>Federal compliance requirement for Class 8 trailer conspicuity.</t>
  </si>
  <si>
    <t>max_inter_lamp_spacing ≤ 4.88 m along trailer length</t>
  </si>
  <si>
    <t>Build inspection + documentation review</t>
  </si>
  <si>
    <t>49 CFR §393.11 Table 1</t>
  </si>
  <si>
    <t>SIG-012</t>
  </si>
  <si>
    <t>E Degraded Mode</t>
  </si>
  <si>
    <t>Upon detection of a turn-signal lamp fault, the SDT SHALL abort or defer any lateral maneuver requiring that signal until the fault is cleared or a compensating policy (remote-supervisor ack, reduced-speed MRC) is active.</t>
  </si>
  <si>
    <t>Prevents 'blind LC' with failed intent. ISO/PAS 23374 DDT fallback logic.</t>
  </si>
  <si>
    <t>turn-signal-failed → lateral maneuvers SHALL be blocked or deferred</t>
  </si>
  <si>
    <t>HIL lamp-fault injection + BiL interlock</t>
  </si>
  <si>
    <t>ISO/PAS 23374; FMVSS 108</t>
  </si>
  <si>
    <t>Upon detection of any signaling-subsystem fault (turn, brake, hazard, marker), the SDT SHALL enter a degraded-signaling mode with a_deg_max=2.0 m/s² deceleration cap and re-assess MRC proximity within 30 s.</t>
  </si>
  <si>
    <t>Graceful degradation prevents catastrophic loss of visibility to surrounding traffic.</t>
  </si>
  <si>
    <t>post-fault decel ≤ 2.0 m/s²; MRC eval ≤ 30 s</t>
  </si>
  <si>
    <t>SIG-E1, E2</t>
  </si>
  <si>
    <t>HIL + BiL supervision test</t>
  </si>
  <si>
    <t>ISO/PAS 23374; ISO 26262 FTTI (Fault Tolerant Time Interval)</t>
  </si>
  <si>
    <t>SIG Parameter Matrix — parameters varying per SIG scenario</t>
  </si>
  <si>
    <t>t_sig_lead (s)</t>
  </si>
  <si>
    <t>a_brake (m/s²)</t>
  </si>
  <si>
    <t>Signal type</t>
  </si>
  <si>
    <t>Lamp state</t>
  </si>
  <si>
    <t>Environment</t>
  </si>
  <si>
    <t>29</t>
  </si>
  <si>
    <t>3.0</t>
  </si>
  <si>
    <t>Left turn</t>
  </si>
  <si>
    <t>OK</t>
  </si>
  <si>
    <t>Day, dry</t>
  </si>
  <si>
    <t>Nominal overtake</t>
  </si>
  <si>
    <t>Right turn</t>
  </si>
  <si>
    <t>Day</t>
  </si>
  <si>
    <t>Courtesy LC for merger</t>
  </si>
  <si>
    <t>5.0</t>
  </si>
  <si>
    <t>Day/dusk</t>
  </si>
  <si>
    <t>Exit 150m before gore</t>
  </si>
  <si>
    <t>1.0</t>
  </si>
  <si>
    <t>LOS D</t>
  </si>
  <si>
    <t>FAILURE: signal too late</t>
  </si>
  <si>
    <t>Left (post-LC)</t>
  </si>
  <si>
    <t>Auto-off after completion</t>
  </si>
  <si>
    <t>0.6</t>
  </si>
  <si>
    <t>Brake steady</t>
  </si>
  <si>
    <t>Headway maintenance</t>
  </si>
  <si>
    <t>8.0</t>
  </si>
  <si>
    <t>ESS flash 4Hz</t>
  </si>
  <si>
    <t>Hard-brake ESS activation</t>
  </si>
  <si>
    <t>3.0→0</t>
  </si>
  <si>
    <t>Brake off</t>
  </si>
  <si>
    <t>Queue</t>
  </si>
  <si>
    <t>Brake release transition</t>
  </si>
  <si>
    <t>29→0</t>
  </si>
  <si>
    <t>2.0</t>
  </si>
  <si>
    <t>Hazards flash</t>
  </si>
  <si>
    <t>MRC activation</t>
  </si>
  <si>
    <t>0→20</t>
  </si>
  <si>
    <t>Haz off after LC</t>
  </si>
  <si>
    <t>20→0</t>
  </si>
  <si>
    <t>No hazards (normal stop)</t>
  </si>
  <si>
    <t>Marker fault</t>
  </si>
  <si>
    <t>Dusk</t>
  </si>
  <si>
    <t>Side-marker open-circuit</t>
  </si>
  <si>
    <t>All ON</t>
  </si>
  <si>
    <t>Conspicuity conformity</t>
  </si>
  <si>
    <t>Left turn (failed)</t>
  </si>
  <si>
    <t>Turn bulb fault</t>
  </si>
  <si>
    <t>LC abort policy</t>
  </si>
  <si>
    <t>Brake redundancy</t>
  </si>
  <si>
    <t>One rear lamp out</t>
  </si>
  <si>
    <t>SIG ODD Mapping — ODD elements covered by SIG scenarios</t>
  </si>
  <si>
    <t>SIG scenarios covering</t>
  </si>
  <si>
    <t>SIG-A1..E2</t>
  </si>
  <si>
    <t>Entire SIG scope; urban/arterial excluded.</t>
  </si>
  <si>
    <t>Lanes</t>
  </si>
  <si>
    <t>SIG-A1, A2, A4, A5</t>
  </si>
  <si>
    <t>LC primary surface; exits in A3.</t>
  </si>
  <si>
    <t>Yes (frequent on I-35)</t>
  </si>
  <si>
    <t>Courtesy merge signaling.</t>
  </si>
  <si>
    <t>Off-ramps</t>
  </si>
  <si>
    <t>Yes</t>
  </si>
  <si>
    <t>Exit signaling timing (AASHTO gore).</t>
  </si>
  <si>
    <t>Shoulder</t>
  </si>
  <si>
    <t>Paved, min 10 ft</t>
  </si>
  <si>
    <t>MRC target.</t>
  </si>
  <si>
    <t>SIG-D1, D2</t>
  </si>
  <si>
    <t>Conspicuity night/dusk mandatory.</t>
  </si>
  <si>
    <t>Weather</t>
  </si>
  <si>
    <t>SIG policy independent of weather (lamp photometry fixed).</t>
  </si>
  <si>
    <t>Emergency vehicle encounter</t>
  </si>
  <si>
    <t>Rare (&lt; 1/jour)</t>
  </si>
  <si>
    <t>(cross-ref TRF-E1)</t>
  </si>
  <si>
    <t>Move-over overlap with hazards policy.</t>
  </si>
  <si>
    <t>VRU (pedestrians, cyclists, 2-wheel)</t>
  </si>
  <si>
    <t>N/A — excluded by ODD</t>
  </si>
  <si>
    <t>Per Safety Lead scope decision (2026-04-19).</t>
  </si>
  <si>
    <t>Not implemented</t>
  </si>
  <si>
    <t>Explicitly out-of-scope.</t>
  </si>
  <si>
    <t>Horn policy</t>
  </si>
  <si>
    <t>Separate governance</t>
  </si>
  <si>
    <t>Traffic density (LOS)</t>
  </si>
  <si>
    <t>A..E</t>
  </si>
  <si>
    <t>SIG-A4, C1, C3</t>
  </si>
  <si>
    <t>ESS and hazards relevant in dense + MRC.</t>
  </si>
  <si>
    <t>Lamp redundancy</t>
  </si>
  <si>
    <t>Dual-sided per 49 CFR §393.9 rear</t>
  </si>
  <si>
    <t>Graceful degradation policy.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</si>
</sst>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b/>
      <sz val="14"/>
      <name val="Arial"/>
    </font>
    <font>
      <b/>
      <sz val="10"/>
      <name val="Arial"/>
    </font>
    <font>
      <sz val="10"/>
      <name val="Arial"/>
    </font>
    <font>
      <b/>
      <sz val="11"/>
      <name val="Arial"/>
    </font>
    <font>
      <b/>
      <sz val="10"/>
      <color rgb="FF0000FF"/>
      <name val="Arial"/>
    </font>
    <font>
      <b/>
      <sz val="10"/>
      <color rgb="FF000000"/>
      <name val="Arial"/>
    </font>
    <font>
      <b/>
      <sz val="10"/>
      <color rgb="FF008000"/>
      <name val="Arial"/>
    </font>
    <font>
      <b/>
      <sz val="10"/>
      <color rgb="FFFF0000"/>
      <name val="Arial"/>
    </font>
    <font>
      <b/>
      <sz val="10"/>
      <color rgb="FFFFFFFF"/>
      <name val="Arial"/>
    </font>
    <font>
      <sz val="10"/>
      <color rgb="FF0000FF"/>
      <name val="Arial"/>
    </font>
    <font>
      <sz val="9"/>
      <name val="Arial"/>
    </font>
    <font>
      <sz val="10"/>
      <color rgb="FF008000"/>
      <name val="Arial"/>
    </font>
    <font>
      <sz val="10"/>
      <color rgb="FF000000"/>
      <name val="Arial"/>
    </font>
    <font>
      <i/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3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10" fillId="8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11" fillId="6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12" fillId="6" borderId="1" xfId="0" applyFont="1" applyFill="1" applyBorder="1" applyAlignment="1">
      <alignment horizontal="left" vertical="top" wrapText="1"/>
    </xf>
    <xf numFmtId="0" fontId="3" fillId="0" borderId="0" xfId="0" applyFont="1"/>
    <xf numFmtId="0" fontId="11" fillId="4" borderId="0" xfId="0" applyFont="1" applyFill="1"/>
    <xf numFmtId="0" fontId="13" fillId="0" borderId="0" xfId="0" applyFont="1"/>
    <xf numFmtId="0" fontId="14" fillId="0" borderId="0" xfId="0" applyFont="1"/>
    <xf numFmtId="0" fontId="14" fillId="4" borderId="0" xfId="0" applyFont="1" applyFill="1"/>
    <xf numFmtId="0" fontId="11" fillId="0" borderId="0" xfId="0" applyFont="1"/>
    <xf numFmtId="0" fontId="11" fillId="0" borderId="1" xfId="0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0" xfId="0" applyFont="1"/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5" fillId="3" borderId="0" xfId="0" applyFont="1" applyFill="1"/>
    <xf numFmtId="0" fontId="2" fillId="0" borderId="0" xfId="0" applyFont="1"/>
    <xf numFmtId="0" fontId="12" fillId="0" borderId="0" xfId="0" applyFont="1"/>
    <xf numFmtId="0" fontId="5" fillId="0" borderId="0" xfId="0" applyFont="1"/>
    <xf numFmtId="0" fontId="3" fillId="0" borderId="0" xfId="0" applyFont="1"/>
    <xf numFmtId="0" fontId="14" fillId="0" borderId="0" xfId="0" applyFont="1"/>
    <xf numFmtId="0" fontId="1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37"/>
  <sheetViews>
    <sheetView showGridLines="0" topLeftCell="A7" workbookViewId="0"/>
  </sheetViews>
  <sheetFormatPr defaultRowHeight="14.25" x14ac:dyDescent="0.45"/>
  <cols>
    <col min="1" max="1" width="2" customWidth="1"/>
    <col min="2" max="2" width="28" customWidth="1"/>
    <col min="3" max="3" width="20" customWidth="1"/>
    <col min="4" max="7" width="16" customWidth="1"/>
  </cols>
  <sheetData>
    <row r="2" spans="2:7" x14ac:dyDescent="0.45">
      <c r="B2" s="38" t="s">
        <v>0</v>
      </c>
      <c r="C2" s="37"/>
      <c r="D2" s="37"/>
      <c r="E2" s="37"/>
      <c r="F2" s="37"/>
      <c r="G2" s="37"/>
    </row>
    <row r="3" spans="2:7" x14ac:dyDescent="0.45">
      <c r="B3" s="37"/>
      <c r="C3" s="37"/>
      <c r="D3" s="37"/>
      <c r="E3" s="37"/>
      <c r="F3" s="37"/>
      <c r="G3" s="37"/>
    </row>
    <row r="4" spans="2:7" x14ac:dyDescent="0.45">
      <c r="B4" s="37"/>
      <c r="C4" s="37"/>
      <c r="D4" s="37"/>
      <c r="E4" s="37"/>
      <c r="F4" s="37"/>
      <c r="G4" s="37"/>
    </row>
    <row r="5" spans="2:7" x14ac:dyDescent="0.45">
      <c r="B5" s="39" t="s">
        <v>1</v>
      </c>
      <c r="C5" s="37"/>
      <c r="D5" s="37"/>
      <c r="E5" s="37"/>
      <c r="F5" s="37"/>
      <c r="G5" s="37"/>
    </row>
    <row r="7" spans="2:7" x14ac:dyDescent="0.45">
      <c r="B7" s="1" t="s">
        <v>2</v>
      </c>
      <c r="C7" s="36" t="s">
        <v>3</v>
      </c>
      <c r="D7" s="37"/>
      <c r="E7" s="37"/>
      <c r="F7" s="37"/>
      <c r="G7" s="37"/>
    </row>
    <row r="8" spans="2:7" x14ac:dyDescent="0.45">
      <c r="B8" s="1" t="s">
        <v>4</v>
      </c>
      <c r="C8" s="36" t="s">
        <v>5</v>
      </c>
      <c r="D8" s="37"/>
      <c r="E8" s="37"/>
      <c r="F8" s="37"/>
      <c r="G8" s="37"/>
    </row>
    <row r="9" spans="2:7" x14ac:dyDescent="0.45">
      <c r="B9" s="1" t="s">
        <v>6</v>
      </c>
      <c r="C9" s="36" t="s">
        <v>7</v>
      </c>
      <c r="D9" s="37"/>
      <c r="E9" s="37"/>
      <c r="F9" s="37"/>
      <c r="G9" s="37"/>
    </row>
    <row r="10" spans="2:7" x14ac:dyDescent="0.45">
      <c r="B10" s="1" t="s">
        <v>8</v>
      </c>
      <c r="C10" s="36" t="s">
        <v>9</v>
      </c>
      <c r="D10" s="37"/>
      <c r="E10" s="37"/>
      <c r="F10" s="37"/>
      <c r="G10" s="37"/>
    </row>
    <row r="11" spans="2:7" x14ac:dyDescent="0.45">
      <c r="B11" s="1" t="s">
        <v>10</v>
      </c>
      <c r="C11" s="36" t="s">
        <v>11</v>
      </c>
      <c r="D11" s="37"/>
      <c r="E11" s="37"/>
      <c r="F11" s="37"/>
      <c r="G11" s="37"/>
    </row>
    <row r="12" spans="2:7" x14ac:dyDescent="0.45">
      <c r="B12" s="1" t="s">
        <v>12</v>
      </c>
      <c r="C12" s="36" t="s">
        <v>13</v>
      </c>
      <c r="D12" s="37"/>
      <c r="E12" s="37"/>
      <c r="F12" s="37"/>
      <c r="G12" s="37"/>
    </row>
    <row r="13" spans="2:7" x14ac:dyDescent="0.45">
      <c r="B13" s="1" t="s">
        <v>14</v>
      </c>
      <c r="C13" s="36" t="s">
        <v>15</v>
      </c>
      <c r="D13" s="37"/>
      <c r="E13" s="37"/>
      <c r="F13" s="37"/>
      <c r="G13" s="37"/>
    </row>
    <row r="14" spans="2:7" x14ac:dyDescent="0.45">
      <c r="B14" s="1" t="s">
        <v>16</v>
      </c>
      <c r="C14" s="36" t="s">
        <v>17</v>
      </c>
      <c r="D14" s="37"/>
      <c r="E14" s="37"/>
      <c r="F14" s="37"/>
      <c r="G14" s="37"/>
    </row>
    <row r="15" spans="2:7" x14ac:dyDescent="0.45">
      <c r="B15" s="1" t="s">
        <v>18</v>
      </c>
      <c r="C15" s="36" t="s">
        <v>19</v>
      </c>
      <c r="D15" s="37"/>
      <c r="E15" s="37"/>
      <c r="F15" s="37"/>
      <c r="G15" s="37"/>
    </row>
    <row r="16" spans="2:7" x14ac:dyDescent="0.45">
      <c r="B16" s="1" t="s">
        <v>20</v>
      </c>
      <c r="C16" s="36" t="s">
        <v>21</v>
      </c>
      <c r="D16" s="37"/>
      <c r="E16" s="37"/>
      <c r="F16" s="37"/>
      <c r="G16" s="37"/>
    </row>
    <row r="19" spans="2:7" x14ac:dyDescent="0.45">
      <c r="B19" s="3" t="s">
        <v>22</v>
      </c>
    </row>
    <row r="20" spans="2:7" x14ac:dyDescent="0.45">
      <c r="B20" s="4" t="s">
        <v>23</v>
      </c>
      <c r="C20" s="36" t="s">
        <v>24</v>
      </c>
      <c r="D20" s="37"/>
      <c r="E20" s="37"/>
      <c r="F20" s="37"/>
      <c r="G20" s="37"/>
    </row>
    <row r="21" spans="2:7" x14ac:dyDescent="0.45">
      <c r="B21" s="5" t="s">
        <v>25</v>
      </c>
      <c r="C21" s="36" t="s">
        <v>26</v>
      </c>
      <c r="D21" s="37"/>
      <c r="E21" s="37"/>
      <c r="F21" s="37"/>
      <c r="G21" s="37"/>
    </row>
    <row r="22" spans="2:7" x14ac:dyDescent="0.45">
      <c r="B22" s="6" t="s">
        <v>27</v>
      </c>
      <c r="C22" s="36" t="s">
        <v>28</v>
      </c>
      <c r="D22" s="37"/>
      <c r="E22" s="37"/>
      <c r="F22" s="37"/>
      <c r="G22" s="37"/>
    </row>
    <row r="23" spans="2:7" x14ac:dyDescent="0.45">
      <c r="B23" s="7" t="s">
        <v>29</v>
      </c>
      <c r="C23" s="36" t="s">
        <v>30</v>
      </c>
      <c r="D23" s="37"/>
      <c r="E23" s="37"/>
      <c r="F23" s="37"/>
      <c r="G23" s="37"/>
    </row>
    <row r="24" spans="2:7" x14ac:dyDescent="0.45">
      <c r="B24" s="8" t="s">
        <v>31</v>
      </c>
      <c r="C24" s="36" t="s">
        <v>32</v>
      </c>
      <c r="D24" s="37"/>
      <c r="E24" s="37"/>
      <c r="F24" s="37"/>
      <c r="G24" s="37"/>
    </row>
    <row r="27" spans="2:7" x14ac:dyDescent="0.45">
      <c r="B27" s="3" t="s">
        <v>33</v>
      </c>
    </row>
    <row r="28" spans="2:7" x14ac:dyDescent="0.45">
      <c r="B28" s="9" t="s">
        <v>34</v>
      </c>
      <c r="C28" s="36" t="s">
        <v>35</v>
      </c>
      <c r="D28" s="37"/>
      <c r="E28" s="37"/>
      <c r="F28" s="37"/>
      <c r="G28" s="37"/>
    </row>
    <row r="29" spans="2:7" x14ac:dyDescent="0.45">
      <c r="B29" s="10" t="s">
        <v>36</v>
      </c>
      <c r="C29" s="36" t="s">
        <v>37</v>
      </c>
      <c r="D29" s="37"/>
      <c r="E29" s="37"/>
      <c r="F29" s="37"/>
      <c r="G29" s="37"/>
    </row>
    <row r="30" spans="2:7" x14ac:dyDescent="0.45">
      <c r="B30" s="11" t="s">
        <v>38</v>
      </c>
      <c r="C30" s="36" t="s">
        <v>39</v>
      </c>
      <c r="D30" s="37"/>
      <c r="E30" s="37"/>
      <c r="F30" s="37"/>
      <c r="G30" s="37"/>
    </row>
    <row r="33" spans="2:7" x14ac:dyDescent="0.45">
      <c r="B33" s="3" t="s">
        <v>40</v>
      </c>
    </row>
    <row r="34" spans="2:7" x14ac:dyDescent="0.45">
      <c r="B34" s="40" t="s">
        <v>41</v>
      </c>
      <c r="C34" s="37"/>
      <c r="D34" s="37"/>
      <c r="E34" s="37"/>
      <c r="F34" s="37"/>
      <c r="G34" s="37"/>
    </row>
    <row r="35" spans="2:7" x14ac:dyDescent="0.45">
      <c r="B35" s="37"/>
      <c r="C35" s="37"/>
      <c r="D35" s="37"/>
      <c r="E35" s="37"/>
      <c r="F35" s="37"/>
      <c r="G35" s="37"/>
    </row>
    <row r="36" spans="2:7" x14ac:dyDescent="0.45">
      <c r="B36" s="37"/>
      <c r="C36" s="37"/>
      <c r="D36" s="37"/>
      <c r="E36" s="37"/>
      <c r="F36" s="37"/>
      <c r="G36" s="37"/>
    </row>
    <row r="37" spans="2:7" x14ac:dyDescent="0.45">
      <c r="B37" s="37"/>
      <c r="C37" s="37"/>
      <c r="D37" s="37"/>
      <c r="E37" s="37"/>
      <c r="F37" s="37"/>
      <c r="G37" s="37"/>
    </row>
  </sheetData>
  <mergeCells count="21">
    <mergeCell ref="C8:G8"/>
    <mergeCell ref="C7:G7"/>
    <mergeCell ref="C28:G28"/>
    <mergeCell ref="C13:G13"/>
    <mergeCell ref="B34:G37"/>
    <mergeCell ref="C30:G30"/>
    <mergeCell ref="B2:G4"/>
    <mergeCell ref="C24:G24"/>
    <mergeCell ref="C15:G15"/>
    <mergeCell ref="C14:G14"/>
    <mergeCell ref="C29:G29"/>
    <mergeCell ref="C20:G20"/>
    <mergeCell ref="C10:G10"/>
    <mergeCell ref="C16:G16"/>
    <mergeCell ref="C22:G22"/>
    <mergeCell ref="C9:G9"/>
    <mergeCell ref="C21:G21"/>
    <mergeCell ref="C12:G12"/>
    <mergeCell ref="B5:G5"/>
    <mergeCell ref="C11:G11"/>
    <mergeCell ref="C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1"/>
  <sheetViews>
    <sheetView showGridLines="0" workbookViewId="0">
      <pane ySplit="3" topLeftCell="A10" activePane="bottomLeft" state="frozen"/>
      <selection pane="bottomLeft" activeCell="F13" sqref="F13"/>
    </sheetView>
  </sheetViews>
  <sheetFormatPr defaultRowHeight="14.25" x14ac:dyDescent="0.45"/>
  <cols>
    <col min="1" max="1" width="40" customWidth="1"/>
    <col min="2" max="2" width="14" customWidth="1"/>
    <col min="3" max="3" width="12" customWidth="1"/>
    <col min="4" max="4" width="8" customWidth="1"/>
    <col min="5" max="5" width="12" customWidth="1"/>
    <col min="6" max="6" width="70" customWidth="1"/>
  </cols>
  <sheetData>
    <row r="1" spans="1:6" ht="17.649999999999999" x14ac:dyDescent="0.5">
      <c r="A1" s="42" t="s">
        <v>42</v>
      </c>
      <c r="B1" s="37"/>
      <c r="C1" s="37"/>
      <c r="D1" s="37"/>
      <c r="E1" s="37"/>
      <c r="F1" s="37"/>
    </row>
    <row r="3" spans="1:6" ht="22.05" customHeight="1" x14ac:dyDescent="0.45">
      <c r="A3" s="12" t="s">
        <v>43</v>
      </c>
      <c r="B3" s="12" t="s">
        <v>44</v>
      </c>
      <c r="C3" s="12" t="s">
        <v>45</v>
      </c>
      <c r="D3" s="12" t="s">
        <v>46</v>
      </c>
      <c r="E3" s="12" t="s">
        <v>47</v>
      </c>
      <c r="F3" s="12" t="s">
        <v>48</v>
      </c>
    </row>
    <row r="4" spans="1:6" ht="36" customHeight="1" x14ac:dyDescent="0.45">
      <c r="A4" s="13" t="s">
        <v>49</v>
      </c>
      <c r="B4" s="13" t="s">
        <v>50</v>
      </c>
      <c r="C4" s="14">
        <v>30.4</v>
      </c>
      <c r="D4" s="13" t="s">
        <v>51</v>
      </c>
      <c r="E4" s="15" t="s">
        <v>34</v>
      </c>
      <c r="F4" s="13" t="s">
        <v>52</v>
      </c>
    </row>
    <row r="5" spans="1:6" ht="36" customHeight="1" x14ac:dyDescent="0.45">
      <c r="A5" s="16" t="s">
        <v>53</v>
      </c>
      <c r="B5" s="16" t="s">
        <v>54</v>
      </c>
      <c r="C5" s="17">
        <v>29</v>
      </c>
      <c r="D5" s="16" t="s">
        <v>51</v>
      </c>
      <c r="E5" s="16" t="s">
        <v>36</v>
      </c>
      <c r="F5" s="16" t="s">
        <v>55</v>
      </c>
    </row>
    <row r="6" spans="1:6" ht="36" customHeight="1" x14ac:dyDescent="0.45">
      <c r="A6" s="13" t="s">
        <v>56</v>
      </c>
      <c r="B6" s="13" t="s">
        <v>57</v>
      </c>
      <c r="C6" s="14">
        <v>5</v>
      </c>
      <c r="D6" s="13" t="s">
        <v>58</v>
      </c>
      <c r="E6" s="13" t="s">
        <v>59</v>
      </c>
      <c r="F6" s="13" t="s">
        <v>60</v>
      </c>
    </row>
    <row r="7" spans="1:6" ht="36" customHeight="1" x14ac:dyDescent="0.45">
      <c r="A7" s="16" t="s">
        <v>61</v>
      </c>
      <c r="B7" s="16" t="s">
        <v>62</v>
      </c>
      <c r="C7" s="17">
        <v>0.45</v>
      </c>
      <c r="D7" s="16" t="s">
        <v>63</v>
      </c>
      <c r="E7" s="15" t="s">
        <v>34</v>
      </c>
      <c r="F7" s="16" t="s">
        <v>64</v>
      </c>
    </row>
    <row r="8" spans="1:6" ht="48.4" customHeight="1" x14ac:dyDescent="0.45">
      <c r="A8" s="13" t="s">
        <v>65</v>
      </c>
      <c r="B8" s="13" t="s">
        <v>66</v>
      </c>
      <c r="C8" s="14">
        <v>0.7</v>
      </c>
      <c r="D8" s="13" t="s">
        <v>63</v>
      </c>
      <c r="E8" s="13" t="s">
        <v>59</v>
      </c>
      <c r="F8" s="13" t="s">
        <v>67</v>
      </c>
    </row>
    <row r="9" spans="1:6" ht="36" customHeight="1" x14ac:dyDescent="0.45">
      <c r="A9" s="16" t="s">
        <v>68</v>
      </c>
      <c r="B9" s="16" t="s">
        <v>69</v>
      </c>
      <c r="C9" s="17">
        <v>1.1499999999999999</v>
      </c>
      <c r="D9" s="16" t="s">
        <v>63</v>
      </c>
      <c r="E9" s="16" t="s">
        <v>36</v>
      </c>
      <c r="F9" s="16" t="s">
        <v>70</v>
      </c>
    </row>
    <row r="10" spans="1:6" ht="57.4" customHeight="1" x14ac:dyDescent="0.45">
      <c r="A10" s="13" t="s">
        <v>71</v>
      </c>
      <c r="B10" s="13" t="s">
        <v>72</v>
      </c>
      <c r="C10" s="14">
        <v>16</v>
      </c>
      <c r="D10" s="13" t="s">
        <v>73</v>
      </c>
      <c r="E10" s="13" t="s">
        <v>59</v>
      </c>
      <c r="F10" s="13" t="s">
        <v>74</v>
      </c>
    </row>
    <row r="11" spans="1:6" ht="36" customHeight="1" x14ac:dyDescent="0.45">
      <c r="A11" s="16" t="s">
        <v>75</v>
      </c>
      <c r="B11" s="16" t="s">
        <v>76</v>
      </c>
      <c r="C11" s="17">
        <v>28</v>
      </c>
      <c r="D11" s="16" t="s">
        <v>73</v>
      </c>
      <c r="E11" s="18" t="s">
        <v>59</v>
      </c>
      <c r="F11" s="16" t="s">
        <v>77</v>
      </c>
    </row>
    <row r="12" spans="1:6" ht="51" customHeight="1" x14ac:dyDescent="0.45">
      <c r="A12" s="13" t="s">
        <v>78</v>
      </c>
      <c r="B12" s="13" t="s">
        <v>79</v>
      </c>
      <c r="C12" s="14">
        <v>12</v>
      </c>
      <c r="D12" s="13" t="s">
        <v>58</v>
      </c>
      <c r="E12" s="13" t="s">
        <v>59</v>
      </c>
      <c r="F12" s="13" t="s">
        <v>80</v>
      </c>
    </row>
    <row r="13" spans="1:6" ht="36" customHeight="1" x14ac:dyDescent="0.45">
      <c r="A13" s="16" t="s">
        <v>81</v>
      </c>
      <c r="B13" s="16" t="s">
        <v>82</v>
      </c>
      <c r="C13" s="17">
        <v>5</v>
      </c>
      <c r="D13" s="16" t="s">
        <v>58</v>
      </c>
      <c r="E13" s="16" t="s">
        <v>36</v>
      </c>
      <c r="F13" s="16" t="s">
        <v>83</v>
      </c>
    </row>
    <row r="14" spans="1:6" ht="36" customHeight="1" x14ac:dyDescent="0.45">
      <c r="A14" s="13" t="s">
        <v>84</v>
      </c>
      <c r="B14" s="13" t="s">
        <v>85</v>
      </c>
      <c r="C14" s="14">
        <v>0</v>
      </c>
      <c r="D14" s="13" t="s">
        <v>73</v>
      </c>
      <c r="E14" s="15" t="s">
        <v>34</v>
      </c>
      <c r="F14" s="13" t="s">
        <v>86</v>
      </c>
    </row>
    <row r="15" spans="1:6" ht="36" customHeight="1" x14ac:dyDescent="0.45">
      <c r="A15" s="16" t="s">
        <v>87</v>
      </c>
      <c r="B15" s="16" t="s">
        <v>88</v>
      </c>
      <c r="C15" s="17">
        <v>5</v>
      </c>
      <c r="D15" s="16" t="s">
        <v>73</v>
      </c>
      <c r="E15" s="15" t="s">
        <v>34</v>
      </c>
      <c r="F15" s="16" t="s">
        <v>89</v>
      </c>
    </row>
    <row r="16" spans="1:6" ht="36" customHeight="1" x14ac:dyDescent="0.45">
      <c r="A16" s="13" t="s">
        <v>90</v>
      </c>
      <c r="B16" s="13" t="s">
        <v>91</v>
      </c>
      <c r="C16" s="14">
        <v>193</v>
      </c>
      <c r="D16" s="13" t="s">
        <v>92</v>
      </c>
      <c r="E16" s="15" t="s">
        <v>34</v>
      </c>
      <c r="F16" s="13" t="s">
        <v>93</v>
      </c>
    </row>
    <row r="17" spans="1:6" ht="42.75" customHeight="1" x14ac:dyDescent="0.45">
      <c r="A17" s="16" t="s">
        <v>94</v>
      </c>
      <c r="B17" s="16" t="s">
        <v>95</v>
      </c>
      <c r="C17" s="17">
        <v>195</v>
      </c>
      <c r="D17" s="16" t="s">
        <v>73</v>
      </c>
      <c r="E17" s="15" t="s">
        <v>34</v>
      </c>
      <c r="F17" s="16" t="s">
        <v>96</v>
      </c>
    </row>
    <row r="18" spans="1:6" ht="36" customHeight="1" x14ac:dyDescent="0.45">
      <c r="A18" s="13" t="s">
        <v>97</v>
      </c>
      <c r="B18" s="13" t="s">
        <v>98</v>
      </c>
      <c r="C18" s="14">
        <v>100</v>
      </c>
      <c r="D18" s="13" t="s">
        <v>73</v>
      </c>
      <c r="E18" s="15" t="s">
        <v>34</v>
      </c>
      <c r="F18" s="13" t="s">
        <v>99</v>
      </c>
    </row>
    <row r="19" spans="1:6" ht="36" customHeight="1" x14ac:dyDescent="0.45">
      <c r="A19" s="16" t="s">
        <v>100</v>
      </c>
      <c r="B19" s="16" t="s">
        <v>101</v>
      </c>
      <c r="C19" s="17">
        <v>3.4</v>
      </c>
      <c r="D19" s="16" t="s">
        <v>58</v>
      </c>
      <c r="E19" s="15" t="s">
        <v>34</v>
      </c>
      <c r="F19" s="16" t="s">
        <v>102</v>
      </c>
    </row>
    <row r="20" spans="1:6" ht="36" customHeight="1" x14ac:dyDescent="0.45">
      <c r="A20" s="13" t="s">
        <v>103</v>
      </c>
      <c r="B20" s="13" t="s">
        <v>104</v>
      </c>
      <c r="C20" s="14">
        <v>0.25</v>
      </c>
      <c r="D20" s="13" t="s">
        <v>92</v>
      </c>
      <c r="E20" s="13" t="s">
        <v>36</v>
      </c>
      <c r="F20" s="13" t="s">
        <v>105</v>
      </c>
    </row>
    <row r="21" spans="1:6" ht="36" customHeight="1" x14ac:dyDescent="0.45">
      <c r="A21" s="16" t="s">
        <v>106</v>
      </c>
      <c r="B21" s="16" t="s">
        <v>107</v>
      </c>
      <c r="C21" s="17">
        <v>2</v>
      </c>
      <c r="D21" s="16" t="s">
        <v>63</v>
      </c>
      <c r="E21" s="18" t="s">
        <v>59</v>
      </c>
      <c r="F21" s="16" t="s">
        <v>108</v>
      </c>
    </row>
    <row r="22" spans="1:6" ht="36" customHeight="1" x14ac:dyDescent="0.45">
      <c r="A22" s="13" t="s">
        <v>109</v>
      </c>
      <c r="B22" s="13" t="s">
        <v>110</v>
      </c>
      <c r="C22" s="14">
        <v>20</v>
      </c>
      <c r="D22" s="13" t="s">
        <v>51</v>
      </c>
      <c r="E22" s="13" t="s">
        <v>59</v>
      </c>
      <c r="F22" s="13" t="s">
        <v>111</v>
      </c>
    </row>
    <row r="23" spans="1:6" ht="36" customHeight="1" x14ac:dyDescent="0.45"/>
    <row r="24" spans="1:6" ht="36" customHeight="1" x14ac:dyDescent="0.45">
      <c r="A24" s="41" t="s">
        <v>112</v>
      </c>
      <c r="B24" s="37"/>
      <c r="C24" s="37"/>
      <c r="D24" s="37"/>
      <c r="E24" s="37"/>
      <c r="F24" s="37"/>
    </row>
    <row r="25" spans="1:6" ht="36" customHeight="1" x14ac:dyDescent="0.45">
      <c r="A25" s="13" t="s">
        <v>113</v>
      </c>
      <c r="B25" s="13" t="s">
        <v>114</v>
      </c>
      <c r="C25" s="14">
        <v>3</v>
      </c>
      <c r="D25" s="13" t="s">
        <v>63</v>
      </c>
      <c r="E25" s="19" t="s">
        <v>59</v>
      </c>
      <c r="F25" s="13" t="s">
        <v>115</v>
      </c>
    </row>
    <row r="26" spans="1:6" ht="36" customHeight="1" x14ac:dyDescent="0.45">
      <c r="A26" s="16" t="s">
        <v>116</v>
      </c>
      <c r="B26" s="16" t="s">
        <v>117</v>
      </c>
      <c r="C26" s="17">
        <v>30</v>
      </c>
      <c r="D26" s="16" t="s">
        <v>73</v>
      </c>
      <c r="E26" s="15" t="s">
        <v>34</v>
      </c>
      <c r="F26" s="16" t="s">
        <v>118</v>
      </c>
    </row>
    <row r="27" spans="1:6" ht="36" customHeight="1" x14ac:dyDescent="0.45">
      <c r="A27" s="13" t="s">
        <v>119</v>
      </c>
      <c r="B27" s="13" t="s">
        <v>120</v>
      </c>
      <c r="C27" s="14">
        <v>2</v>
      </c>
      <c r="D27" s="13" t="s">
        <v>121</v>
      </c>
      <c r="E27" s="13" t="s">
        <v>36</v>
      </c>
      <c r="F27" s="13" t="s">
        <v>122</v>
      </c>
    </row>
    <row r="28" spans="1:6" ht="36" customHeight="1" x14ac:dyDescent="0.45">
      <c r="A28" s="16" t="s">
        <v>123</v>
      </c>
      <c r="B28" s="16" t="s">
        <v>124</v>
      </c>
      <c r="C28" s="17">
        <v>5</v>
      </c>
      <c r="D28" s="16" t="s">
        <v>121</v>
      </c>
      <c r="E28" s="16" t="s">
        <v>36</v>
      </c>
      <c r="F28" s="16" t="s">
        <v>125</v>
      </c>
    </row>
    <row r="29" spans="1:6" ht="36" customHeight="1" x14ac:dyDescent="0.45">
      <c r="A29" s="13" t="s">
        <v>126</v>
      </c>
      <c r="B29" s="13" t="s">
        <v>127</v>
      </c>
      <c r="C29" s="14">
        <v>1.5</v>
      </c>
      <c r="D29" s="13" t="s">
        <v>121</v>
      </c>
      <c r="E29" s="13" t="s">
        <v>36</v>
      </c>
      <c r="F29" s="13" t="s">
        <v>128</v>
      </c>
    </row>
    <row r="30" spans="1:6" ht="36" customHeight="1" x14ac:dyDescent="0.45">
      <c r="A30" s="16" t="s">
        <v>129</v>
      </c>
      <c r="B30" s="16" t="s">
        <v>130</v>
      </c>
      <c r="C30" s="17">
        <v>1.34</v>
      </c>
      <c r="D30" s="16" t="s">
        <v>51</v>
      </c>
      <c r="E30" s="19" t="s">
        <v>59</v>
      </c>
      <c r="F30" s="16" t="s">
        <v>131</v>
      </c>
    </row>
    <row r="31" spans="1:6" ht="36" customHeight="1" x14ac:dyDescent="0.45">
      <c r="A31" s="13" t="s">
        <v>132</v>
      </c>
      <c r="B31" s="13" t="s">
        <v>133</v>
      </c>
      <c r="C31" s="14">
        <v>2.2400000000000002</v>
      </c>
      <c r="D31" s="13" t="s">
        <v>51</v>
      </c>
      <c r="E31" s="19" t="s">
        <v>59</v>
      </c>
      <c r="F31" s="13" t="s">
        <v>134</v>
      </c>
    </row>
    <row r="32" spans="1:6" ht="36" customHeight="1" x14ac:dyDescent="0.45">
      <c r="A32" s="16" t="s">
        <v>135</v>
      </c>
      <c r="B32" s="16" t="s">
        <v>136</v>
      </c>
      <c r="C32" s="17">
        <v>5</v>
      </c>
      <c r="D32" s="16" t="s">
        <v>51</v>
      </c>
      <c r="E32" s="19" t="s">
        <v>59</v>
      </c>
      <c r="F32" s="16" t="s">
        <v>137</v>
      </c>
    </row>
    <row r="33" spans="1:6" ht="36" customHeight="1" x14ac:dyDescent="0.45">
      <c r="A33" s="13" t="s">
        <v>138</v>
      </c>
      <c r="B33" s="13" t="s">
        <v>139</v>
      </c>
      <c r="C33" s="14">
        <v>17.899999999999999</v>
      </c>
      <c r="D33" s="13" t="s">
        <v>51</v>
      </c>
      <c r="E33" s="15" t="s">
        <v>34</v>
      </c>
      <c r="F33" s="13" t="s">
        <v>140</v>
      </c>
    </row>
    <row r="34" spans="1:6" ht="36" customHeight="1" x14ac:dyDescent="0.45">
      <c r="A34" s="16" t="s">
        <v>141</v>
      </c>
      <c r="B34" s="16" t="s">
        <v>142</v>
      </c>
      <c r="C34" s="17">
        <v>1.5</v>
      </c>
      <c r="D34" s="16" t="s">
        <v>63</v>
      </c>
      <c r="E34" s="19" t="s">
        <v>59</v>
      </c>
      <c r="F34" s="16" t="s">
        <v>143</v>
      </c>
    </row>
    <row r="35" spans="1:6" ht="36" customHeight="1" x14ac:dyDescent="0.45">
      <c r="A35" s="13" t="s">
        <v>144</v>
      </c>
      <c r="B35" s="13" t="s">
        <v>145</v>
      </c>
      <c r="C35" s="14">
        <v>1</v>
      </c>
      <c r="D35" s="13" t="s">
        <v>63</v>
      </c>
      <c r="E35" s="19" t="s">
        <v>59</v>
      </c>
      <c r="F35" s="13" t="s">
        <v>146</v>
      </c>
    </row>
    <row r="36" spans="1:6" ht="36" customHeight="1" x14ac:dyDescent="0.45">
      <c r="A36" s="16" t="s">
        <v>147</v>
      </c>
      <c r="B36" s="16" t="s">
        <v>148</v>
      </c>
      <c r="C36" s="17">
        <v>1.2</v>
      </c>
      <c r="D36" s="16" t="s">
        <v>73</v>
      </c>
      <c r="E36" s="15" t="s">
        <v>34</v>
      </c>
      <c r="F36" s="16" t="s">
        <v>149</v>
      </c>
    </row>
    <row r="37" spans="1:6" ht="36" customHeight="1" x14ac:dyDescent="0.45">
      <c r="A37" s="13" t="s">
        <v>150</v>
      </c>
      <c r="B37" s="13" t="s">
        <v>151</v>
      </c>
      <c r="C37" s="14">
        <v>6</v>
      </c>
      <c r="D37" s="13" t="s">
        <v>63</v>
      </c>
      <c r="E37" s="19" t="s">
        <v>59</v>
      </c>
      <c r="F37" s="13" t="s">
        <v>152</v>
      </c>
    </row>
    <row r="38" spans="1:6" ht="36" customHeight="1" x14ac:dyDescent="0.45">
      <c r="A38" s="16" t="s">
        <v>153</v>
      </c>
      <c r="B38" s="16" t="s">
        <v>154</v>
      </c>
      <c r="C38" s="17">
        <v>15</v>
      </c>
      <c r="D38" s="16" t="s">
        <v>63</v>
      </c>
      <c r="E38" s="19" t="s">
        <v>59</v>
      </c>
      <c r="F38" s="16" t="s">
        <v>155</v>
      </c>
    </row>
    <row r="39" spans="1:6" ht="36" customHeight="1" x14ac:dyDescent="0.45">
      <c r="A39" s="13" t="s">
        <v>156</v>
      </c>
      <c r="B39" s="13" t="s">
        <v>157</v>
      </c>
      <c r="C39" s="14">
        <v>30</v>
      </c>
      <c r="D39" s="13" t="s">
        <v>63</v>
      </c>
      <c r="E39" s="19" t="s">
        <v>59</v>
      </c>
      <c r="F39" s="13" t="s">
        <v>158</v>
      </c>
    </row>
    <row r="40" spans="1:6" ht="36" customHeight="1" x14ac:dyDescent="0.45">
      <c r="A40" s="16" t="s">
        <v>159</v>
      </c>
      <c r="B40" s="16" t="s">
        <v>160</v>
      </c>
      <c r="C40" s="17">
        <v>0.3</v>
      </c>
      <c r="D40" s="16" t="s">
        <v>73</v>
      </c>
      <c r="E40" s="16" t="s">
        <v>36</v>
      </c>
      <c r="F40" s="16" t="s">
        <v>161</v>
      </c>
    </row>
    <row r="41" spans="1:6" ht="36" customHeight="1" x14ac:dyDescent="0.45">
      <c r="A41" s="13" t="s">
        <v>162</v>
      </c>
      <c r="B41" s="13" t="s">
        <v>163</v>
      </c>
      <c r="C41" s="14">
        <v>1.5</v>
      </c>
      <c r="D41" s="13" t="s">
        <v>58</v>
      </c>
      <c r="E41" s="19" t="s">
        <v>59</v>
      </c>
      <c r="F41" s="13" t="s">
        <v>164</v>
      </c>
    </row>
    <row r="42" spans="1:6" ht="36" customHeight="1" x14ac:dyDescent="0.45">
      <c r="A42" s="16" t="s">
        <v>165</v>
      </c>
      <c r="B42" s="16" t="s">
        <v>166</v>
      </c>
      <c r="C42" s="17">
        <v>4.47</v>
      </c>
      <c r="D42" s="16" t="s">
        <v>51</v>
      </c>
      <c r="E42" s="15" t="s">
        <v>34</v>
      </c>
      <c r="F42" s="16" t="s">
        <v>167</v>
      </c>
    </row>
    <row r="43" spans="1:6" ht="36" customHeight="1" x14ac:dyDescent="0.45"/>
    <row r="44" spans="1:6" ht="36" customHeight="1" x14ac:dyDescent="0.45">
      <c r="A44" s="41" t="s">
        <v>168</v>
      </c>
      <c r="B44" s="37"/>
      <c r="C44" s="37"/>
      <c r="D44" s="37"/>
      <c r="E44" s="37"/>
      <c r="F44" s="37"/>
    </row>
    <row r="45" spans="1:6" ht="36" customHeight="1" x14ac:dyDescent="0.45">
      <c r="A45" s="13" t="s">
        <v>169</v>
      </c>
      <c r="B45" s="13" t="s">
        <v>170</v>
      </c>
      <c r="C45" s="14">
        <v>3</v>
      </c>
      <c r="D45" s="13" t="s">
        <v>63</v>
      </c>
      <c r="E45" s="19" t="s">
        <v>59</v>
      </c>
      <c r="F45" s="13" t="s">
        <v>171</v>
      </c>
    </row>
    <row r="46" spans="1:6" ht="36" customHeight="1" x14ac:dyDescent="0.45">
      <c r="A46" s="16" t="s">
        <v>172</v>
      </c>
      <c r="B46" s="16" t="s">
        <v>173</v>
      </c>
      <c r="C46" s="17">
        <v>30</v>
      </c>
      <c r="D46" s="16" t="s">
        <v>73</v>
      </c>
      <c r="E46" s="15" t="s">
        <v>34</v>
      </c>
      <c r="F46" s="16" t="s">
        <v>174</v>
      </c>
    </row>
    <row r="47" spans="1:6" ht="36" customHeight="1" x14ac:dyDescent="0.45">
      <c r="A47" s="13" t="s">
        <v>175</v>
      </c>
      <c r="B47" s="13" t="s">
        <v>176</v>
      </c>
      <c r="C47" s="14">
        <v>2</v>
      </c>
      <c r="D47" s="13" t="s">
        <v>63</v>
      </c>
      <c r="E47" s="19" t="s">
        <v>59</v>
      </c>
      <c r="F47" s="13" t="s">
        <v>177</v>
      </c>
    </row>
    <row r="48" spans="1:6" ht="36" customHeight="1" x14ac:dyDescent="0.45">
      <c r="A48" s="16" t="s">
        <v>178</v>
      </c>
      <c r="B48" s="16" t="s">
        <v>179</v>
      </c>
      <c r="C48" s="17">
        <v>1</v>
      </c>
      <c r="D48" s="16" t="s">
        <v>63</v>
      </c>
      <c r="E48" s="16" t="s">
        <v>36</v>
      </c>
      <c r="F48" s="16" t="s">
        <v>180</v>
      </c>
    </row>
    <row r="49" spans="1:6" ht="36" customHeight="1" x14ac:dyDescent="0.45">
      <c r="A49" s="13" t="s">
        <v>181</v>
      </c>
      <c r="B49" s="13" t="s">
        <v>182</v>
      </c>
      <c r="C49" s="14">
        <v>1.5</v>
      </c>
      <c r="D49" s="13" t="s">
        <v>183</v>
      </c>
      <c r="E49" s="15" t="s">
        <v>34</v>
      </c>
      <c r="F49" s="13" t="s">
        <v>184</v>
      </c>
    </row>
    <row r="50" spans="1:6" ht="36" customHeight="1" x14ac:dyDescent="0.45">
      <c r="A50" s="16" t="s">
        <v>185</v>
      </c>
      <c r="B50" s="16" t="s">
        <v>186</v>
      </c>
      <c r="C50" s="17">
        <v>0.3</v>
      </c>
      <c r="D50" s="16" t="s">
        <v>63</v>
      </c>
      <c r="E50" s="16" t="s">
        <v>36</v>
      </c>
      <c r="F50" s="16" t="s">
        <v>187</v>
      </c>
    </row>
    <row r="51" spans="1:6" ht="36" customHeight="1" x14ac:dyDescent="0.45">
      <c r="A51" s="13" t="s">
        <v>188</v>
      </c>
      <c r="B51" s="13" t="s">
        <v>189</v>
      </c>
      <c r="C51" s="14">
        <v>0.5</v>
      </c>
      <c r="D51" s="13" t="s">
        <v>58</v>
      </c>
      <c r="E51" s="15" t="s">
        <v>34</v>
      </c>
      <c r="F51" s="13" t="s">
        <v>190</v>
      </c>
    </row>
    <row r="52" spans="1:6" ht="36" customHeight="1" x14ac:dyDescent="0.45">
      <c r="A52" s="16" t="s">
        <v>191</v>
      </c>
      <c r="B52" s="16" t="s">
        <v>192</v>
      </c>
      <c r="C52" s="17">
        <v>6</v>
      </c>
      <c r="D52" s="16" t="s">
        <v>58</v>
      </c>
      <c r="E52" s="15" t="s">
        <v>34</v>
      </c>
      <c r="F52" s="16" t="s">
        <v>193</v>
      </c>
    </row>
    <row r="53" spans="1:6" ht="36" customHeight="1" x14ac:dyDescent="0.45">
      <c r="A53" s="13" t="s">
        <v>194</v>
      </c>
      <c r="B53" s="13" t="s">
        <v>195</v>
      </c>
      <c r="C53" s="14">
        <v>4</v>
      </c>
      <c r="D53" s="13" t="s">
        <v>183</v>
      </c>
      <c r="E53" s="15" t="s">
        <v>34</v>
      </c>
      <c r="F53" s="13" t="s">
        <v>196</v>
      </c>
    </row>
    <row r="54" spans="1:6" ht="36" customHeight="1" x14ac:dyDescent="0.45">
      <c r="A54" s="16" t="s">
        <v>197</v>
      </c>
      <c r="B54" s="16" t="s">
        <v>198</v>
      </c>
      <c r="C54" s="17">
        <v>2.5</v>
      </c>
      <c r="D54" s="16" t="s">
        <v>58</v>
      </c>
      <c r="E54" s="15" t="s">
        <v>34</v>
      </c>
      <c r="F54" s="16" t="s">
        <v>199</v>
      </c>
    </row>
    <row r="55" spans="1:6" ht="36" customHeight="1" x14ac:dyDescent="0.45">
      <c r="A55" s="13" t="s">
        <v>200</v>
      </c>
      <c r="B55" s="13" t="s">
        <v>201</v>
      </c>
      <c r="C55" s="14">
        <v>3</v>
      </c>
      <c r="D55" s="13" t="s">
        <v>63</v>
      </c>
      <c r="E55" s="19" t="s">
        <v>59</v>
      </c>
      <c r="F55" s="13" t="s">
        <v>202</v>
      </c>
    </row>
    <row r="56" spans="1:6" ht="36" customHeight="1" x14ac:dyDescent="0.45">
      <c r="A56" s="16" t="s">
        <v>203</v>
      </c>
      <c r="B56" s="16" t="s">
        <v>204</v>
      </c>
      <c r="C56" s="17">
        <v>30</v>
      </c>
      <c r="D56" s="16" t="s">
        <v>63</v>
      </c>
      <c r="E56" s="19" t="s">
        <v>59</v>
      </c>
      <c r="F56" s="16" t="s">
        <v>205</v>
      </c>
    </row>
    <row r="57" spans="1:6" ht="36" customHeight="1" x14ac:dyDescent="0.45">
      <c r="A57" s="13" t="s">
        <v>206</v>
      </c>
      <c r="B57" s="13" t="s">
        <v>207</v>
      </c>
      <c r="C57" s="14">
        <v>0.99</v>
      </c>
      <c r="D57" s="13" t="s">
        <v>208</v>
      </c>
      <c r="E57" s="19" t="s">
        <v>59</v>
      </c>
      <c r="F57" s="13" t="s">
        <v>209</v>
      </c>
    </row>
    <row r="58" spans="1:6" ht="36" customHeight="1" x14ac:dyDescent="0.45">
      <c r="A58" s="16" t="s">
        <v>210</v>
      </c>
      <c r="B58" s="16" t="s">
        <v>211</v>
      </c>
      <c r="C58" s="17">
        <v>4.9000000000000004</v>
      </c>
      <c r="D58" s="16" t="s">
        <v>73</v>
      </c>
      <c r="E58" s="15" t="s">
        <v>34</v>
      </c>
      <c r="F58" s="16" t="s">
        <v>212</v>
      </c>
    </row>
    <row r="59" spans="1:6" ht="36" customHeight="1" x14ac:dyDescent="0.45">
      <c r="A59" s="13" t="s">
        <v>213</v>
      </c>
      <c r="B59" s="13" t="s">
        <v>214</v>
      </c>
      <c r="C59" s="14">
        <v>150</v>
      </c>
      <c r="D59" s="13" t="s">
        <v>73</v>
      </c>
      <c r="E59" s="19" t="s">
        <v>59</v>
      </c>
      <c r="F59" s="13" t="s">
        <v>215</v>
      </c>
    </row>
    <row r="60" spans="1:6" ht="36" customHeight="1" x14ac:dyDescent="0.45">
      <c r="A60" s="16" t="s">
        <v>216</v>
      </c>
      <c r="B60" s="16" t="s">
        <v>217</v>
      </c>
      <c r="C60" s="17">
        <v>0.5</v>
      </c>
      <c r="D60" s="16" t="s">
        <v>63</v>
      </c>
      <c r="E60" s="19" t="s">
        <v>59</v>
      </c>
      <c r="F60" s="16" t="s">
        <v>218</v>
      </c>
    </row>
    <row r="61" spans="1:6" ht="36" customHeight="1" x14ac:dyDescent="0.45">
      <c r="A61" s="13" t="s">
        <v>219</v>
      </c>
      <c r="B61" s="13" t="s">
        <v>220</v>
      </c>
      <c r="C61" s="14">
        <v>2</v>
      </c>
      <c r="D61" s="13" t="s">
        <v>58</v>
      </c>
      <c r="E61" s="13" t="s">
        <v>36</v>
      </c>
      <c r="F61" s="13" t="s">
        <v>221</v>
      </c>
    </row>
  </sheetData>
  <mergeCells count="3">
    <mergeCell ref="A24:F24"/>
    <mergeCell ref="A44:F44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5"/>
  <sheetViews>
    <sheetView showGridLines="0" zoomScale="85" zoomScaleNormal="85" workbookViewId="0">
      <pane xSplit="3" ySplit="3" topLeftCell="D24" activePane="bottomRight" state="frozen"/>
      <selection pane="topRight"/>
      <selection pane="bottomLeft"/>
      <selection pane="bottomRight" activeCell="A10" sqref="A10"/>
    </sheetView>
  </sheetViews>
  <sheetFormatPr defaultRowHeight="14.25" x14ac:dyDescent="0.45"/>
  <cols>
    <col min="1" max="1" width="10" customWidth="1"/>
    <col min="2" max="2" width="26" customWidth="1"/>
    <col min="3" max="3" width="26.46484375" customWidth="1"/>
    <col min="4" max="4" width="12" customWidth="1"/>
    <col min="5" max="5" width="18.6640625" customWidth="1"/>
    <col min="6" max="6" width="15.1328125" customWidth="1"/>
    <col min="7" max="7" width="11.265625" customWidth="1"/>
    <col min="8" max="8" width="18.1328125" customWidth="1"/>
    <col min="9" max="9" width="95" customWidth="1"/>
    <col min="10" max="10" width="22" customWidth="1"/>
    <col min="11" max="11" width="36" customWidth="1"/>
  </cols>
  <sheetData>
    <row r="1" spans="1:11" ht="17.649999999999999" x14ac:dyDescent="0.5">
      <c r="A1" s="42" t="s">
        <v>222</v>
      </c>
      <c r="B1" s="37"/>
      <c r="C1" s="37"/>
      <c r="D1" s="37"/>
      <c r="E1" s="37"/>
      <c r="F1" s="37"/>
      <c r="G1" s="37"/>
      <c r="H1" s="37"/>
      <c r="I1" s="37"/>
      <c r="J1" s="37"/>
    </row>
    <row r="3" spans="1:11" ht="30" customHeight="1" x14ac:dyDescent="0.45">
      <c r="A3" s="12" t="s">
        <v>223</v>
      </c>
      <c r="B3" s="12" t="s">
        <v>224</v>
      </c>
      <c r="C3" s="12" t="s">
        <v>225</v>
      </c>
      <c r="D3" s="12" t="s">
        <v>226</v>
      </c>
      <c r="E3" s="12" t="s">
        <v>227</v>
      </c>
      <c r="F3" s="12" t="s">
        <v>228</v>
      </c>
      <c r="G3" s="12" t="s">
        <v>229</v>
      </c>
      <c r="H3" s="12" t="s">
        <v>230</v>
      </c>
      <c r="I3" s="12" t="s">
        <v>231</v>
      </c>
      <c r="J3" s="12" t="s">
        <v>232</v>
      </c>
      <c r="K3" s="12" t="s">
        <v>233</v>
      </c>
    </row>
    <row r="4" spans="1:11" ht="200" customHeight="1" x14ac:dyDescent="0.45">
      <c r="A4" s="13" t="s">
        <v>234</v>
      </c>
      <c r="B4" s="13" t="s">
        <v>235</v>
      </c>
      <c r="C4" s="13" t="s">
        <v>236</v>
      </c>
      <c r="D4" s="13" t="s">
        <v>237</v>
      </c>
      <c r="E4" s="13" t="s">
        <v>238</v>
      </c>
      <c r="F4" s="13" t="s">
        <v>239</v>
      </c>
      <c r="G4" s="13" t="s">
        <v>240</v>
      </c>
      <c r="H4" s="13" t="s">
        <v>241</v>
      </c>
      <c r="I4" s="20" t="s">
        <v>242</v>
      </c>
      <c r="J4" s="13" t="s">
        <v>243</v>
      </c>
      <c r="K4" s="13" t="s">
        <v>244</v>
      </c>
    </row>
    <row r="5" spans="1:11" ht="200" customHeight="1" x14ac:dyDescent="0.45">
      <c r="A5" s="16" t="s">
        <v>245</v>
      </c>
      <c r="B5" s="16" t="s">
        <v>235</v>
      </c>
      <c r="C5" s="16" t="s">
        <v>246</v>
      </c>
      <c r="D5" s="16" t="s">
        <v>237</v>
      </c>
      <c r="E5" s="16" t="s">
        <v>247</v>
      </c>
      <c r="F5" s="16" t="s">
        <v>248</v>
      </c>
      <c r="G5" s="16" t="s">
        <v>249</v>
      </c>
      <c r="H5" s="16" t="s">
        <v>250</v>
      </c>
      <c r="I5" s="21" t="s">
        <v>251</v>
      </c>
      <c r="J5" s="16" t="s">
        <v>252</v>
      </c>
      <c r="K5" s="16" t="s">
        <v>253</v>
      </c>
    </row>
    <row r="6" spans="1:11" ht="200" customHeight="1" x14ac:dyDescent="0.45">
      <c r="A6" s="13" t="s">
        <v>254</v>
      </c>
      <c r="B6" s="13" t="s">
        <v>235</v>
      </c>
      <c r="C6" s="13" t="s">
        <v>255</v>
      </c>
      <c r="D6" s="13" t="s">
        <v>237</v>
      </c>
      <c r="E6" s="13" t="s">
        <v>256</v>
      </c>
      <c r="F6" s="13" t="s">
        <v>257</v>
      </c>
      <c r="G6" s="13" t="s">
        <v>258</v>
      </c>
      <c r="H6" s="13" t="s">
        <v>259</v>
      </c>
      <c r="I6" s="20" t="s">
        <v>260</v>
      </c>
      <c r="J6" s="13" t="s">
        <v>261</v>
      </c>
      <c r="K6" s="13" t="s">
        <v>262</v>
      </c>
    </row>
    <row r="7" spans="1:11" ht="200" customHeight="1" x14ac:dyDescent="0.45">
      <c r="A7" s="16" t="s">
        <v>263</v>
      </c>
      <c r="B7" s="16" t="s">
        <v>235</v>
      </c>
      <c r="C7" s="16" t="s">
        <v>264</v>
      </c>
      <c r="D7" s="16" t="s">
        <v>237</v>
      </c>
      <c r="E7" s="16" t="s">
        <v>265</v>
      </c>
      <c r="F7" s="16" t="s">
        <v>266</v>
      </c>
      <c r="G7" s="16" t="s">
        <v>267</v>
      </c>
      <c r="H7" s="16" t="s">
        <v>268</v>
      </c>
      <c r="I7" s="21" t="s">
        <v>269</v>
      </c>
      <c r="J7" s="16" t="s">
        <v>270</v>
      </c>
      <c r="K7" s="16" t="s">
        <v>271</v>
      </c>
    </row>
    <row r="8" spans="1:11" ht="200" customHeight="1" x14ac:dyDescent="0.45">
      <c r="A8" s="13" t="s">
        <v>272</v>
      </c>
      <c r="B8" s="13" t="s">
        <v>235</v>
      </c>
      <c r="C8" s="13" t="s">
        <v>273</v>
      </c>
      <c r="D8" s="13" t="s">
        <v>274</v>
      </c>
      <c r="E8" s="13" t="s">
        <v>275</v>
      </c>
      <c r="F8" s="13" t="s">
        <v>276</v>
      </c>
      <c r="G8" s="13" t="s">
        <v>277</v>
      </c>
      <c r="H8" s="13" t="s">
        <v>278</v>
      </c>
      <c r="I8" s="20" t="s">
        <v>279</v>
      </c>
      <c r="J8" s="13" t="s">
        <v>252</v>
      </c>
      <c r="K8" s="13" t="s">
        <v>280</v>
      </c>
    </row>
    <row r="9" spans="1:11" ht="200" customHeight="1" x14ac:dyDescent="0.45">
      <c r="A9" s="16" t="s">
        <v>281</v>
      </c>
      <c r="B9" s="16" t="s">
        <v>282</v>
      </c>
      <c r="C9" s="16" t="s">
        <v>283</v>
      </c>
      <c r="D9" s="16" t="s">
        <v>237</v>
      </c>
      <c r="E9" s="16" t="s">
        <v>284</v>
      </c>
      <c r="F9" s="16" t="s">
        <v>285</v>
      </c>
      <c r="G9" s="16" t="s">
        <v>286</v>
      </c>
      <c r="H9" s="16" t="s">
        <v>287</v>
      </c>
      <c r="I9" s="21" t="s">
        <v>288</v>
      </c>
      <c r="J9" s="16" t="s">
        <v>289</v>
      </c>
      <c r="K9" s="16" t="s">
        <v>290</v>
      </c>
    </row>
    <row r="10" spans="1:11" ht="200" customHeight="1" x14ac:dyDescent="0.45">
      <c r="A10" s="13" t="s">
        <v>291</v>
      </c>
      <c r="B10" s="13" t="s">
        <v>282</v>
      </c>
      <c r="C10" s="13" t="s">
        <v>292</v>
      </c>
      <c r="D10" s="13" t="s">
        <v>237</v>
      </c>
      <c r="E10" s="13" t="s">
        <v>293</v>
      </c>
      <c r="F10" s="13" t="s">
        <v>285</v>
      </c>
      <c r="G10" s="13" t="s">
        <v>294</v>
      </c>
      <c r="H10" s="13" t="s">
        <v>295</v>
      </c>
      <c r="I10" s="20" t="s">
        <v>296</v>
      </c>
      <c r="J10" s="13" t="s">
        <v>297</v>
      </c>
      <c r="K10" s="13" t="s">
        <v>298</v>
      </c>
    </row>
    <row r="11" spans="1:11" ht="200" customHeight="1" x14ac:dyDescent="0.45">
      <c r="A11" s="16" t="s">
        <v>299</v>
      </c>
      <c r="B11" s="16" t="s">
        <v>282</v>
      </c>
      <c r="C11" s="16" t="s">
        <v>300</v>
      </c>
      <c r="D11" s="16" t="s">
        <v>237</v>
      </c>
      <c r="E11" s="16" t="s">
        <v>301</v>
      </c>
      <c r="F11" s="16" t="s">
        <v>285</v>
      </c>
      <c r="G11" s="16" t="s">
        <v>302</v>
      </c>
      <c r="H11" s="16" t="s">
        <v>303</v>
      </c>
      <c r="I11" s="21" t="s">
        <v>304</v>
      </c>
      <c r="J11" s="16" t="s">
        <v>305</v>
      </c>
      <c r="K11" s="16" t="s">
        <v>306</v>
      </c>
    </row>
    <row r="12" spans="1:11" ht="200" customHeight="1" x14ac:dyDescent="0.45">
      <c r="A12" s="13" t="s">
        <v>307</v>
      </c>
      <c r="B12" s="13" t="s">
        <v>282</v>
      </c>
      <c r="C12" s="13" t="s">
        <v>308</v>
      </c>
      <c r="D12" s="13" t="s">
        <v>309</v>
      </c>
      <c r="E12" s="13" t="s">
        <v>310</v>
      </c>
      <c r="F12" s="13" t="s">
        <v>285</v>
      </c>
      <c r="G12" s="13" t="s">
        <v>311</v>
      </c>
      <c r="H12" s="13" t="s">
        <v>312</v>
      </c>
      <c r="I12" s="20" t="s">
        <v>313</v>
      </c>
      <c r="J12" s="13" t="s">
        <v>314</v>
      </c>
      <c r="K12" s="13" t="s">
        <v>315</v>
      </c>
    </row>
    <row r="13" spans="1:11" ht="200" customHeight="1" x14ac:dyDescent="0.45">
      <c r="A13" s="16" t="s">
        <v>316</v>
      </c>
      <c r="B13" s="16" t="s">
        <v>282</v>
      </c>
      <c r="C13" s="16" t="s">
        <v>317</v>
      </c>
      <c r="D13" s="16" t="s">
        <v>318</v>
      </c>
      <c r="E13" s="16" t="s">
        <v>319</v>
      </c>
      <c r="F13" s="16" t="s">
        <v>320</v>
      </c>
      <c r="G13" s="16" t="s">
        <v>321</v>
      </c>
      <c r="H13" s="16" t="s">
        <v>322</v>
      </c>
      <c r="I13" s="21" t="s">
        <v>323</v>
      </c>
      <c r="J13" s="16" t="s">
        <v>324</v>
      </c>
      <c r="K13" s="16" t="s">
        <v>325</v>
      </c>
    </row>
    <row r="14" spans="1:11" ht="200" customHeight="1" x14ac:dyDescent="0.45">
      <c r="A14" s="13" t="s">
        <v>326</v>
      </c>
      <c r="B14" s="13" t="s">
        <v>327</v>
      </c>
      <c r="C14" s="13" t="s">
        <v>328</v>
      </c>
      <c r="D14" s="13" t="s">
        <v>237</v>
      </c>
      <c r="E14" s="13" t="s">
        <v>329</v>
      </c>
      <c r="F14" s="13" t="s">
        <v>330</v>
      </c>
      <c r="G14" s="13" t="s">
        <v>331</v>
      </c>
      <c r="H14" s="13" t="s">
        <v>332</v>
      </c>
      <c r="I14" s="20" t="s">
        <v>333</v>
      </c>
      <c r="J14" s="13" t="s">
        <v>334</v>
      </c>
      <c r="K14" s="13" t="s">
        <v>335</v>
      </c>
    </row>
    <row r="15" spans="1:11" ht="200" customHeight="1" x14ac:dyDescent="0.45">
      <c r="A15" s="16" t="s">
        <v>336</v>
      </c>
      <c r="B15" s="16" t="s">
        <v>327</v>
      </c>
      <c r="C15" s="16" t="s">
        <v>337</v>
      </c>
      <c r="D15" s="16" t="s">
        <v>237</v>
      </c>
      <c r="E15" s="16" t="s">
        <v>338</v>
      </c>
      <c r="F15" s="16" t="s">
        <v>330</v>
      </c>
      <c r="G15" s="16" t="s">
        <v>339</v>
      </c>
      <c r="H15" s="16" t="s">
        <v>340</v>
      </c>
      <c r="I15" s="21" t="s">
        <v>341</v>
      </c>
      <c r="J15" s="16" t="s">
        <v>334</v>
      </c>
      <c r="K15" s="16" t="s">
        <v>342</v>
      </c>
    </row>
    <row r="16" spans="1:11" ht="200" customHeight="1" x14ac:dyDescent="0.45">
      <c r="A16" s="13" t="s">
        <v>343</v>
      </c>
      <c r="B16" s="13" t="s">
        <v>327</v>
      </c>
      <c r="C16" s="13" t="s">
        <v>344</v>
      </c>
      <c r="D16" s="13" t="s">
        <v>237</v>
      </c>
      <c r="E16" s="13" t="s">
        <v>345</v>
      </c>
      <c r="F16" s="13" t="s">
        <v>346</v>
      </c>
      <c r="G16" s="13" t="s">
        <v>347</v>
      </c>
      <c r="H16" s="13" t="s">
        <v>348</v>
      </c>
      <c r="I16" s="20" t="s">
        <v>349</v>
      </c>
      <c r="J16" s="13" t="s">
        <v>350</v>
      </c>
      <c r="K16" s="13" t="s">
        <v>351</v>
      </c>
    </row>
    <row r="17" spans="1:11" ht="200" customHeight="1" x14ac:dyDescent="0.45">
      <c r="A17" s="16" t="s">
        <v>352</v>
      </c>
      <c r="B17" s="16" t="s">
        <v>327</v>
      </c>
      <c r="C17" s="16" t="s">
        <v>353</v>
      </c>
      <c r="D17" s="16" t="s">
        <v>318</v>
      </c>
      <c r="E17" s="16" t="s">
        <v>354</v>
      </c>
      <c r="F17" s="16" t="s">
        <v>355</v>
      </c>
      <c r="G17" s="16" t="s">
        <v>356</v>
      </c>
      <c r="H17" s="16" t="s">
        <v>357</v>
      </c>
      <c r="I17" s="21" t="s">
        <v>358</v>
      </c>
      <c r="J17" s="16" t="s">
        <v>359</v>
      </c>
      <c r="K17" s="16" t="s">
        <v>360</v>
      </c>
    </row>
    <row r="18" spans="1:11" ht="200" customHeight="1" x14ac:dyDescent="0.45">
      <c r="A18" s="13" t="s">
        <v>361</v>
      </c>
      <c r="B18" s="13" t="s">
        <v>327</v>
      </c>
      <c r="C18" s="13" t="s">
        <v>362</v>
      </c>
      <c r="D18" s="13" t="s">
        <v>318</v>
      </c>
      <c r="E18" s="13" t="s">
        <v>363</v>
      </c>
      <c r="F18" s="13" t="s">
        <v>364</v>
      </c>
      <c r="G18" s="13" t="s">
        <v>365</v>
      </c>
      <c r="H18" s="13" t="s">
        <v>357</v>
      </c>
      <c r="I18" s="20" t="s">
        <v>366</v>
      </c>
      <c r="J18" s="13" t="s">
        <v>367</v>
      </c>
      <c r="K18" s="13" t="s">
        <v>368</v>
      </c>
    </row>
    <row r="19" spans="1:11" ht="200" customHeight="1" x14ac:dyDescent="0.45">
      <c r="A19" s="16" t="s">
        <v>369</v>
      </c>
      <c r="B19" s="16" t="s">
        <v>370</v>
      </c>
      <c r="C19" s="16" t="s">
        <v>371</v>
      </c>
      <c r="D19" s="16" t="s">
        <v>318</v>
      </c>
      <c r="E19" s="16" t="s">
        <v>372</v>
      </c>
      <c r="F19" s="16" t="s">
        <v>373</v>
      </c>
      <c r="G19" s="16" t="s">
        <v>374</v>
      </c>
      <c r="H19" s="16" t="s">
        <v>375</v>
      </c>
      <c r="I19" s="21" t="s">
        <v>376</v>
      </c>
      <c r="J19" s="16" t="s">
        <v>377</v>
      </c>
      <c r="K19" s="16" t="s">
        <v>378</v>
      </c>
    </row>
    <row r="20" spans="1:11" ht="200" customHeight="1" x14ac:dyDescent="0.45">
      <c r="A20" s="13" t="s">
        <v>379</v>
      </c>
      <c r="B20" s="13" t="s">
        <v>370</v>
      </c>
      <c r="C20" s="13" t="s">
        <v>380</v>
      </c>
      <c r="D20" s="13" t="s">
        <v>318</v>
      </c>
      <c r="E20" s="13" t="s">
        <v>381</v>
      </c>
      <c r="F20" s="13" t="s">
        <v>382</v>
      </c>
      <c r="G20" s="13" t="s">
        <v>383</v>
      </c>
      <c r="H20" s="13" t="s">
        <v>384</v>
      </c>
      <c r="I20" s="20" t="s">
        <v>385</v>
      </c>
      <c r="J20" s="13" t="s">
        <v>386</v>
      </c>
      <c r="K20" s="13" t="s">
        <v>387</v>
      </c>
    </row>
    <row r="21" spans="1:11" ht="200" customHeight="1" x14ac:dyDescent="0.45">
      <c r="A21" s="16" t="s">
        <v>388</v>
      </c>
      <c r="B21" s="16" t="s">
        <v>370</v>
      </c>
      <c r="C21" s="16" t="s">
        <v>389</v>
      </c>
      <c r="D21" s="16" t="s">
        <v>237</v>
      </c>
      <c r="E21" s="16" t="s">
        <v>390</v>
      </c>
      <c r="F21" s="16" t="s">
        <v>391</v>
      </c>
      <c r="G21" s="16" t="s">
        <v>392</v>
      </c>
      <c r="H21" s="16" t="s">
        <v>393</v>
      </c>
      <c r="I21" s="21" t="s">
        <v>394</v>
      </c>
      <c r="J21" s="16" t="s">
        <v>350</v>
      </c>
      <c r="K21" s="16" t="s">
        <v>351</v>
      </c>
    </row>
    <row r="22" spans="1:11" ht="200" customHeight="1" x14ac:dyDescent="0.45">
      <c r="A22" s="13" t="s">
        <v>395</v>
      </c>
      <c r="B22" s="13" t="s">
        <v>396</v>
      </c>
      <c r="C22" s="13" t="s">
        <v>397</v>
      </c>
      <c r="D22" s="13" t="s">
        <v>318</v>
      </c>
      <c r="E22" s="13" t="s">
        <v>398</v>
      </c>
      <c r="F22" s="13" t="s">
        <v>399</v>
      </c>
      <c r="G22" s="13" t="s">
        <v>400</v>
      </c>
      <c r="H22" s="13" t="s">
        <v>401</v>
      </c>
      <c r="I22" s="20" t="s">
        <v>402</v>
      </c>
      <c r="J22" s="13" t="s">
        <v>403</v>
      </c>
      <c r="K22" s="13" t="s">
        <v>404</v>
      </c>
    </row>
    <row r="23" spans="1:11" ht="200" customHeight="1" x14ac:dyDescent="0.45">
      <c r="A23" s="16" t="s">
        <v>405</v>
      </c>
      <c r="B23" s="16" t="s">
        <v>396</v>
      </c>
      <c r="C23" s="16" t="s">
        <v>406</v>
      </c>
      <c r="D23" s="16" t="s">
        <v>318</v>
      </c>
      <c r="E23" s="16" t="s">
        <v>407</v>
      </c>
      <c r="F23" s="16" t="s">
        <v>408</v>
      </c>
      <c r="G23" s="16" t="s">
        <v>409</v>
      </c>
      <c r="H23" s="16" t="s">
        <v>410</v>
      </c>
      <c r="I23" s="21" t="s">
        <v>411</v>
      </c>
      <c r="J23" s="16" t="s">
        <v>403</v>
      </c>
      <c r="K23" s="16" t="s">
        <v>412</v>
      </c>
    </row>
    <row r="24" spans="1:11" ht="200" customHeight="1" x14ac:dyDescent="0.45">
      <c r="A24" s="13" t="s">
        <v>413</v>
      </c>
      <c r="B24" s="13" t="s">
        <v>396</v>
      </c>
      <c r="C24" s="13" t="s">
        <v>414</v>
      </c>
      <c r="D24" s="13" t="s">
        <v>237</v>
      </c>
      <c r="E24" s="13" t="s">
        <v>415</v>
      </c>
      <c r="F24" s="13" t="s">
        <v>416</v>
      </c>
      <c r="G24" s="13" t="s">
        <v>417</v>
      </c>
      <c r="H24" s="13" t="s">
        <v>418</v>
      </c>
      <c r="I24" s="20" t="s">
        <v>419</v>
      </c>
      <c r="J24" s="13" t="s">
        <v>403</v>
      </c>
      <c r="K24" s="13" t="s">
        <v>420</v>
      </c>
    </row>
    <row r="25" spans="1:11" ht="200" customHeight="1" x14ac:dyDescent="0.45">
      <c r="A25" s="16" t="s">
        <v>421</v>
      </c>
      <c r="B25" s="16" t="s">
        <v>396</v>
      </c>
      <c r="C25" s="16" t="s">
        <v>422</v>
      </c>
      <c r="D25" s="16" t="s">
        <v>318</v>
      </c>
      <c r="E25" s="16" t="s">
        <v>423</v>
      </c>
      <c r="F25" s="16" t="s">
        <v>424</v>
      </c>
      <c r="G25" s="16" t="s">
        <v>425</v>
      </c>
      <c r="H25" s="16" t="s">
        <v>426</v>
      </c>
      <c r="I25" s="21" t="s">
        <v>427</v>
      </c>
      <c r="J25" s="16" t="s">
        <v>403</v>
      </c>
      <c r="K25" s="16" t="s">
        <v>428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8"/>
  <sheetViews>
    <sheetView showGridLines="0" workbookViewId="0">
      <selection sqref="A1:F1"/>
    </sheetView>
  </sheetViews>
  <sheetFormatPr defaultRowHeight="14.25" x14ac:dyDescent="0.45"/>
  <cols>
    <col min="1" max="1" width="34" customWidth="1"/>
    <col min="2" max="2" width="16" customWidth="1"/>
    <col min="3" max="3" width="8" customWidth="1"/>
    <col min="4" max="4" width="28" customWidth="1"/>
    <col min="5" max="6" width="18" customWidth="1"/>
  </cols>
  <sheetData>
    <row r="1" spans="1:6" ht="17.649999999999999" x14ac:dyDescent="0.5">
      <c r="A1" s="42" t="s">
        <v>429</v>
      </c>
      <c r="B1" s="37"/>
      <c r="C1" s="37"/>
      <c r="D1" s="37"/>
      <c r="E1" s="37"/>
      <c r="F1" s="37"/>
    </row>
    <row r="3" spans="1:6" x14ac:dyDescent="0.45">
      <c r="A3" s="3" t="s">
        <v>430</v>
      </c>
    </row>
    <row r="4" spans="1:6" x14ac:dyDescent="0.45">
      <c r="A4" s="45" t="s">
        <v>431</v>
      </c>
      <c r="B4" s="37"/>
      <c r="C4" s="37"/>
      <c r="D4" s="37"/>
      <c r="E4" s="37"/>
      <c r="F4" s="37"/>
    </row>
    <row r="5" spans="1:6" x14ac:dyDescent="0.45">
      <c r="A5" s="45" t="s">
        <v>432</v>
      </c>
      <c r="B5" s="37"/>
      <c r="C5" s="37"/>
      <c r="D5" s="37"/>
      <c r="E5" s="37"/>
      <c r="F5" s="37"/>
    </row>
    <row r="7" spans="1:6" x14ac:dyDescent="0.45">
      <c r="A7" s="44" t="s">
        <v>433</v>
      </c>
      <c r="B7" s="37"/>
      <c r="C7" s="37"/>
      <c r="D7" s="37"/>
      <c r="E7" s="37"/>
      <c r="F7" s="37"/>
    </row>
    <row r="8" spans="1:6" x14ac:dyDescent="0.45">
      <c r="A8" s="22" t="s">
        <v>434</v>
      </c>
      <c r="B8" s="23">
        <v>29</v>
      </c>
      <c r="C8" s="2" t="s">
        <v>51</v>
      </c>
      <c r="D8" s="43" t="s">
        <v>435</v>
      </c>
      <c r="E8" s="37"/>
      <c r="F8" s="37"/>
    </row>
    <row r="9" spans="1:6" x14ac:dyDescent="0.45">
      <c r="A9" s="22" t="s">
        <v>436</v>
      </c>
      <c r="B9" s="24">
        <f>'Actor Layer'!C6</f>
        <v>5</v>
      </c>
      <c r="C9" s="2" t="s">
        <v>58</v>
      </c>
      <c r="D9" s="43" t="s">
        <v>437</v>
      </c>
      <c r="E9" s="37"/>
      <c r="F9" s="37"/>
    </row>
    <row r="10" spans="1:6" x14ac:dyDescent="0.45">
      <c r="A10" s="22" t="s">
        <v>438</v>
      </c>
      <c r="B10" s="24">
        <f>'Actor Layer'!C9</f>
        <v>1.1499999999999999</v>
      </c>
      <c r="C10" s="2" t="s">
        <v>63</v>
      </c>
      <c r="D10" s="43" t="s">
        <v>439</v>
      </c>
      <c r="E10" s="37"/>
      <c r="F10" s="37"/>
    </row>
    <row r="11" spans="1:6" x14ac:dyDescent="0.45">
      <c r="A11" s="22" t="s">
        <v>440</v>
      </c>
      <c r="B11" s="23">
        <v>16</v>
      </c>
      <c r="C11" s="2" t="s">
        <v>73</v>
      </c>
      <c r="D11" s="43" t="s">
        <v>441</v>
      </c>
      <c r="E11" s="37"/>
      <c r="F11" s="37"/>
    </row>
    <row r="12" spans="1:6" x14ac:dyDescent="0.45">
      <c r="A12" s="22" t="s">
        <v>442</v>
      </c>
      <c r="B12" s="23">
        <v>0</v>
      </c>
      <c r="C12" s="2" t="s">
        <v>73</v>
      </c>
      <c r="D12" s="43" t="s">
        <v>443</v>
      </c>
      <c r="E12" s="37"/>
      <c r="F12" s="37"/>
    </row>
    <row r="13" spans="1:6" x14ac:dyDescent="0.45">
      <c r="A13" s="22" t="s">
        <v>444</v>
      </c>
      <c r="B13" s="24">
        <f>'Actor Layer'!C12</f>
        <v>12</v>
      </c>
      <c r="C13" s="2" t="s">
        <v>58</v>
      </c>
      <c r="D13" s="43" t="s">
        <v>445</v>
      </c>
      <c r="E13" s="37"/>
      <c r="F13" s="37"/>
    </row>
    <row r="14" spans="1:6" x14ac:dyDescent="0.45">
      <c r="A14" s="22" t="s">
        <v>446</v>
      </c>
      <c r="B14" s="24">
        <f>'Actor Layer'!C21</f>
        <v>2</v>
      </c>
      <c r="C14" s="2" t="s">
        <v>63</v>
      </c>
      <c r="D14" s="43" t="s">
        <v>447</v>
      </c>
      <c r="E14" s="37"/>
      <c r="F14" s="37"/>
    </row>
    <row r="15" spans="1:6" x14ac:dyDescent="0.45">
      <c r="A15" s="22" t="s">
        <v>448</v>
      </c>
      <c r="B15" s="24">
        <f>'Actor Layer'!C20</f>
        <v>0.25</v>
      </c>
      <c r="C15" s="2" t="s">
        <v>92</v>
      </c>
      <c r="D15" s="43" t="s">
        <v>449</v>
      </c>
      <c r="E15" s="37"/>
      <c r="F15" s="37"/>
    </row>
    <row r="17" spans="1:6" x14ac:dyDescent="0.45">
      <c r="A17" s="44" t="s">
        <v>450</v>
      </c>
      <c r="B17" s="37"/>
      <c r="C17" s="37"/>
      <c r="D17" s="37"/>
      <c r="E17" s="37"/>
      <c r="F17" s="37"/>
    </row>
    <row r="18" spans="1:6" x14ac:dyDescent="0.45">
      <c r="A18" t="s">
        <v>451</v>
      </c>
      <c r="B18" s="25">
        <f>B8/(2*B9)+B10-(B11+B12)/B8</f>
        <v>3.4982758620689651</v>
      </c>
      <c r="D18" s="43" t="s">
        <v>452</v>
      </c>
      <c r="E18" s="37"/>
      <c r="F18" s="37"/>
    </row>
    <row r="19" spans="1:6" x14ac:dyDescent="0.45">
      <c r="A19" t="s">
        <v>453</v>
      </c>
      <c r="B19" s="26">
        <f>MAX(B14, B18)*(1+B15)</f>
        <v>4.3728448275862064</v>
      </c>
      <c r="D19" s="43" t="s">
        <v>454</v>
      </c>
      <c r="E19" s="37"/>
      <c r="F19" s="37"/>
    </row>
    <row r="20" spans="1:6" x14ac:dyDescent="0.45">
      <c r="A20" t="s">
        <v>455</v>
      </c>
      <c r="B20" s="25">
        <f>B8*B19</f>
        <v>126.81249999999999</v>
      </c>
      <c r="D20" s="43" t="s">
        <v>456</v>
      </c>
      <c r="E20" s="37"/>
      <c r="F20" s="37"/>
    </row>
    <row r="22" spans="1:6" x14ac:dyDescent="0.45">
      <c r="A22" s="44" t="s">
        <v>457</v>
      </c>
      <c r="B22" s="37"/>
      <c r="C22" s="37"/>
      <c r="D22" s="37"/>
      <c r="E22" s="37"/>
      <c r="F22" s="37"/>
    </row>
    <row r="23" spans="1:6" x14ac:dyDescent="0.45">
      <c r="A23" t="s">
        <v>458</v>
      </c>
      <c r="B23" s="24">
        <f>'Actor Layer'!C22</f>
        <v>20</v>
      </c>
    </row>
    <row r="24" spans="1:6" x14ac:dyDescent="0.45">
      <c r="A24" t="s">
        <v>459</v>
      </c>
      <c r="B24" s="46" t="str">
        <f>IF(B8&gt;=B23,"FREE-FLOW — residual risk (cf. OCC-014)","CONGESTION — manageable (cf. OCC-006)")</f>
        <v>FREE-FLOW — residual risk (cf. OCC-014)</v>
      </c>
      <c r="C24" s="37"/>
      <c r="D24" s="37"/>
      <c r="E24" s="37"/>
      <c r="F24" s="37"/>
    </row>
    <row r="26" spans="1:6" x14ac:dyDescent="0.45">
      <c r="A26" s="44" t="s">
        <v>460</v>
      </c>
      <c r="B26" s="37"/>
      <c r="C26" s="37"/>
      <c r="D26" s="37"/>
      <c r="E26" s="37"/>
      <c r="F26" s="37"/>
    </row>
    <row r="27" spans="1:6" x14ac:dyDescent="0.45">
      <c r="A27" t="s">
        <v>461</v>
      </c>
      <c r="B27" s="25">
        <f>MAX(0, B8 - B9*B19)</f>
        <v>7.135775862068968</v>
      </c>
    </row>
    <row r="28" spans="1:6" x14ac:dyDescent="0.45">
      <c r="A28" t="s">
        <v>462</v>
      </c>
      <c r="B28" s="25" t="str">
        <f>IF(B27&lt;=0,"YES — SDT fully stopped","NO — residual Δv at impact")</f>
        <v>NO — residual Δv at impact</v>
      </c>
    </row>
  </sheetData>
  <mergeCells count="19">
    <mergeCell ref="A1:F1"/>
    <mergeCell ref="A7:F7"/>
    <mergeCell ref="A4:F4"/>
    <mergeCell ref="D8:F8"/>
    <mergeCell ref="D15:F15"/>
    <mergeCell ref="D14:F14"/>
    <mergeCell ref="D20:F20"/>
    <mergeCell ref="D10:F10"/>
    <mergeCell ref="D19:F19"/>
    <mergeCell ref="D11:F11"/>
    <mergeCell ref="D13:F13"/>
    <mergeCell ref="A26:F26"/>
    <mergeCell ref="A5:F5"/>
    <mergeCell ref="D12:F12"/>
    <mergeCell ref="D18:F18"/>
    <mergeCell ref="D9:F9"/>
    <mergeCell ref="A17:F17"/>
    <mergeCell ref="A22:F22"/>
    <mergeCell ref="B24:F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1"/>
  <sheetViews>
    <sheetView showGridLines="0" workbookViewId="0">
      <pane ySplit="12" topLeftCell="A22" activePane="bottomLeft" state="frozen"/>
      <selection pane="bottomLeft" sqref="A1:I1"/>
    </sheetView>
  </sheetViews>
  <sheetFormatPr defaultRowHeight="14.25" x14ac:dyDescent="0.45"/>
  <cols>
    <col min="1" max="2" width="10" customWidth="1"/>
    <col min="3" max="3" width="16" customWidth="1"/>
    <col min="4" max="4" width="18" customWidth="1"/>
    <col min="5" max="5" width="14" customWidth="1"/>
    <col min="6" max="7" width="18" customWidth="1"/>
    <col min="8" max="9" width="14" customWidth="1"/>
  </cols>
  <sheetData>
    <row r="1" spans="1:9" ht="17.649999999999999" x14ac:dyDescent="0.5">
      <c r="A1" s="42" t="s">
        <v>463</v>
      </c>
      <c r="B1" s="37"/>
      <c r="C1" s="37"/>
      <c r="D1" s="37"/>
      <c r="E1" s="37"/>
      <c r="F1" s="37"/>
      <c r="G1" s="37"/>
      <c r="H1" s="37"/>
      <c r="I1" s="37"/>
    </row>
    <row r="3" spans="1:9" x14ac:dyDescent="0.45">
      <c r="A3" s="3" t="s">
        <v>464</v>
      </c>
    </row>
    <row r="4" spans="1:9" x14ac:dyDescent="0.45">
      <c r="A4" t="s">
        <v>57</v>
      </c>
      <c r="B4" s="24">
        <f>'Actor Layer'!C6</f>
        <v>5</v>
      </c>
    </row>
    <row r="5" spans="1:9" x14ac:dyDescent="0.45">
      <c r="A5" t="s">
        <v>69</v>
      </c>
      <c r="B5" s="24">
        <f>'Actor Layer'!C9</f>
        <v>1.1499999999999999</v>
      </c>
    </row>
    <row r="6" spans="1:9" x14ac:dyDescent="0.45">
      <c r="A6" t="s">
        <v>465</v>
      </c>
      <c r="B6" s="24">
        <f>'Actor Layer'!C10</f>
        <v>16</v>
      </c>
    </row>
    <row r="7" spans="1:9" x14ac:dyDescent="0.45">
      <c r="A7" t="s">
        <v>466</v>
      </c>
      <c r="B7" s="27">
        <v>0</v>
      </c>
    </row>
    <row r="8" spans="1:9" x14ac:dyDescent="0.45">
      <c r="A8" t="s">
        <v>107</v>
      </c>
      <c r="B8" s="24">
        <f>'Actor Layer'!C21</f>
        <v>2</v>
      </c>
    </row>
    <row r="9" spans="1:9" x14ac:dyDescent="0.45">
      <c r="A9" t="s">
        <v>104</v>
      </c>
      <c r="B9" s="24">
        <f>'Actor Layer'!C20</f>
        <v>0.25</v>
      </c>
    </row>
    <row r="10" spans="1:9" x14ac:dyDescent="0.45">
      <c r="A10" t="s">
        <v>110</v>
      </c>
      <c r="B10" s="24">
        <f>'Actor Layer'!C22</f>
        <v>20</v>
      </c>
    </row>
    <row r="12" spans="1:9" ht="26.25" x14ac:dyDescent="0.45">
      <c r="A12" s="12" t="s">
        <v>467</v>
      </c>
      <c r="B12" s="12" t="s">
        <v>468</v>
      </c>
      <c r="C12" s="12" t="s">
        <v>469</v>
      </c>
      <c r="D12" s="12" t="s">
        <v>470</v>
      </c>
      <c r="E12" s="12" t="s">
        <v>471</v>
      </c>
      <c r="F12" s="12" t="s">
        <v>472</v>
      </c>
      <c r="G12" s="12" t="s">
        <v>473</v>
      </c>
      <c r="H12" s="12" t="s">
        <v>474</v>
      </c>
      <c r="I12" s="12" t="s">
        <v>226</v>
      </c>
    </row>
    <row r="13" spans="1:9" x14ac:dyDescent="0.45">
      <c r="A13" s="28">
        <v>10</v>
      </c>
      <c r="B13" s="29">
        <f t="shared" ref="B13:B26" si="0">A13*0.44704</f>
        <v>4.4703999999999997</v>
      </c>
      <c r="C13" s="29">
        <f t="shared" ref="C13:C26" si="1">IFERROR(B13/(2*$B$4)+$B$5-($B$6+$B$7)/B13,"")</f>
        <v>-1.9820580672870443</v>
      </c>
      <c r="D13" s="29">
        <f t="shared" ref="D13:D26" si="2">IFERROR(MAX($B$8,C13)*(1+$B$9),"")</f>
        <v>2.5</v>
      </c>
      <c r="E13" s="29">
        <f t="shared" ref="E13:E26" si="3">IFERROR(B13*D13,"")</f>
        <v>11.175999999999998</v>
      </c>
      <c r="F13" s="29">
        <f t="shared" ref="F13:F26" si="4">IFERROR(B13/(2*$B$4)+$B$5-(28+$B$7)/B13,"")</f>
        <v>-4.666381617752327</v>
      </c>
      <c r="G13" s="29">
        <f t="shared" ref="G13:G26" si="5">IFERROR(MAX($B$8,F13)*(1+$B$9),"")</f>
        <v>2.5</v>
      </c>
      <c r="H13" s="29">
        <f t="shared" ref="H13:H26" si="6">IFERROR(B13*G13,"")</f>
        <v>11.175999999999998</v>
      </c>
      <c r="I13" s="30" t="str">
        <f t="shared" ref="I13:I26" si="7">IF(B13&gt;=$B$10,"FREE-FLOW","CONGESTION")</f>
        <v>CONGESTION</v>
      </c>
    </row>
    <row r="14" spans="1:9" x14ac:dyDescent="0.45">
      <c r="A14" s="28">
        <v>15</v>
      </c>
      <c r="B14" s="29">
        <f t="shared" si="0"/>
        <v>6.7055999999999996</v>
      </c>
      <c r="C14" s="29">
        <f t="shared" si="1"/>
        <v>-0.5655053781913626</v>
      </c>
      <c r="D14" s="29">
        <f t="shared" si="2"/>
        <v>2.5</v>
      </c>
      <c r="E14" s="29">
        <f t="shared" si="3"/>
        <v>16.763999999999999</v>
      </c>
      <c r="F14" s="29">
        <f t="shared" si="4"/>
        <v>-2.3550544118348848</v>
      </c>
      <c r="G14" s="29">
        <f t="shared" si="5"/>
        <v>2.5</v>
      </c>
      <c r="H14" s="29">
        <f t="shared" si="6"/>
        <v>16.763999999999999</v>
      </c>
      <c r="I14" s="30" t="str">
        <f t="shared" si="7"/>
        <v>CONGESTION</v>
      </c>
    </row>
    <row r="15" spans="1:9" x14ac:dyDescent="0.45">
      <c r="A15" s="28">
        <v>20</v>
      </c>
      <c r="B15" s="29">
        <f t="shared" si="0"/>
        <v>8.9407999999999994</v>
      </c>
      <c r="C15" s="29">
        <f t="shared" si="1"/>
        <v>0.25453096635647809</v>
      </c>
      <c r="D15" s="29">
        <f t="shared" si="2"/>
        <v>2.5</v>
      </c>
      <c r="E15" s="29">
        <f t="shared" si="3"/>
        <v>22.351999999999997</v>
      </c>
      <c r="F15" s="29">
        <f t="shared" si="4"/>
        <v>-1.0876308088761633</v>
      </c>
      <c r="G15" s="29">
        <f t="shared" si="5"/>
        <v>2.5</v>
      </c>
      <c r="H15" s="29">
        <f t="shared" si="6"/>
        <v>22.351999999999997</v>
      </c>
      <c r="I15" s="30" t="str">
        <f t="shared" si="7"/>
        <v>CONGESTION</v>
      </c>
    </row>
    <row r="16" spans="1:9" x14ac:dyDescent="0.45">
      <c r="A16" s="28">
        <v>25</v>
      </c>
      <c r="B16" s="29">
        <f t="shared" si="0"/>
        <v>11.176</v>
      </c>
      <c r="C16" s="29">
        <f t="shared" si="1"/>
        <v>0.83596077308518235</v>
      </c>
      <c r="D16" s="29">
        <f t="shared" si="2"/>
        <v>2.5</v>
      </c>
      <c r="E16" s="29">
        <f t="shared" si="3"/>
        <v>27.94</v>
      </c>
      <c r="F16" s="29">
        <f t="shared" si="4"/>
        <v>-0.2377686471009306</v>
      </c>
      <c r="G16" s="29">
        <f t="shared" si="5"/>
        <v>2.5</v>
      </c>
      <c r="H16" s="29">
        <f t="shared" si="6"/>
        <v>27.94</v>
      </c>
      <c r="I16" s="30" t="str">
        <f t="shared" si="7"/>
        <v>CONGESTION</v>
      </c>
    </row>
    <row r="17" spans="1:9" x14ac:dyDescent="0.45">
      <c r="A17" s="28">
        <v>30</v>
      </c>
      <c r="B17" s="29">
        <f t="shared" si="0"/>
        <v>13.411199999999999</v>
      </c>
      <c r="C17" s="29">
        <f t="shared" si="1"/>
        <v>1.2980873109043183</v>
      </c>
      <c r="D17" s="29">
        <f t="shared" si="2"/>
        <v>2.5</v>
      </c>
      <c r="E17" s="29">
        <f t="shared" si="3"/>
        <v>33.527999999999999</v>
      </c>
      <c r="F17" s="29">
        <f t="shared" si="4"/>
        <v>0.40331279408255716</v>
      </c>
      <c r="G17" s="29">
        <f t="shared" si="5"/>
        <v>2.5</v>
      </c>
      <c r="H17" s="29">
        <f t="shared" si="6"/>
        <v>33.527999999999999</v>
      </c>
      <c r="I17" s="30" t="str">
        <f t="shared" si="7"/>
        <v>CONGESTION</v>
      </c>
    </row>
    <row r="18" spans="1:9" x14ac:dyDescent="0.45">
      <c r="A18" s="28">
        <v>35</v>
      </c>
      <c r="B18" s="29">
        <f t="shared" si="0"/>
        <v>15.6464</v>
      </c>
      <c r="C18" s="29">
        <f t="shared" si="1"/>
        <v>1.6920405522037019</v>
      </c>
      <c r="D18" s="29">
        <f t="shared" si="2"/>
        <v>2.5</v>
      </c>
      <c r="E18" s="29">
        <f t="shared" si="3"/>
        <v>39.116</v>
      </c>
      <c r="F18" s="29">
        <f t="shared" si="4"/>
        <v>0.92509096635647836</v>
      </c>
      <c r="G18" s="29">
        <f t="shared" si="5"/>
        <v>2.5</v>
      </c>
      <c r="H18" s="29">
        <f t="shared" si="6"/>
        <v>39.116</v>
      </c>
      <c r="I18" s="30" t="str">
        <f t="shared" si="7"/>
        <v>CONGESTION</v>
      </c>
    </row>
    <row r="19" spans="1:9" x14ac:dyDescent="0.45">
      <c r="A19" s="28">
        <v>40</v>
      </c>
      <c r="B19" s="29">
        <f t="shared" si="0"/>
        <v>17.881599999999999</v>
      </c>
      <c r="C19" s="29">
        <f t="shared" si="1"/>
        <v>2.043385483178239</v>
      </c>
      <c r="D19" s="29">
        <f t="shared" si="2"/>
        <v>2.5542318539727988</v>
      </c>
      <c r="E19" s="29">
        <f t="shared" si="3"/>
        <v>45.673752319999998</v>
      </c>
      <c r="F19" s="29">
        <f t="shared" si="4"/>
        <v>1.3723045955619182</v>
      </c>
      <c r="G19" s="29">
        <f t="shared" si="5"/>
        <v>2.5</v>
      </c>
      <c r="H19" s="29">
        <f t="shared" si="6"/>
        <v>44.703999999999994</v>
      </c>
      <c r="I19" s="30" t="str">
        <f t="shared" si="7"/>
        <v>CONGESTION</v>
      </c>
    </row>
    <row r="20" spans="1:9" x14ac:dyDescent="0.45">
      <c r="A20" s="28">
        <v>45</v>
      </c>
      <c r="B20" s="29">
        <f t="shared" si="0"/>
        <v>20.116800000000001</v>
      </c>
      <c r="C20" s="29">
        <f t="shared" si="1"/>
        <v>2.3663248739362128</v>
      </c>
      <c r="D20" s="29">
        <f t="shared" si="2"/>
        <v>2.957906092420266</v>
      </c>
      <c r="E20" s="29">
        <f t="shared" si="3"/>
        <v>59.503605280000009</v>
      </c>
      <c r="F20" s="29">
        <f t="shared" si="4"/>
        <v>1.7698085293883721</v>
      </c>
      <c r="G20" s="29">
        <f t="shared" si="5"/>
        <v>2.5</v>
      </c>
      <c r="H20" s="29">
        <f t="shared" si="6"/>
        <v>50.292000000000002</v>
      </c>
      <c r="I20" s="30" t="str">
        <f t="shared" si="7"/>
        <v>FREE-FLOW</v>
      </c>
    </row>
    <row r="21" spans="1:9" x14ac:dyDescent="0.45">
      <c r="A21" s="28">
        <v>50</v>
      </c>
      <c r="B21" s="29">
        <f t="shared" si="0"/>
        <v>22.352</v>
      </c>
      <c r="C21" s="29">
        <f t="shared" si="1"/>
        <v>2.6693803865425911</v>
      </c>
      <c r="D21" s="29">
        <f t="shared" si="2"/>
        <v>3.3367254831782391</v>
      </c>
      <c r="E21" s="29">
        <f t="shared" si="3"/>
        <v>74.582487999999998</v>
      </c>
      <c r="F21" s="29">
        <f t="shared" si="4"/>
        <v>2.1325156764495343</v>
      </c>
      <c r="G21" s="29">
        <f t="shared" si="5"/>
        <v>2.6656445955619179</v>
      </c>
      <c r="H21" s="29">
        <f t="shared" si="6"/>
        <v>59.582487999999991</v>
      </c>
      <c r="I21" s="30" t="str">
        <f t="shared" si="7"/>
        <v>FREE-FLOW</v>
      </c>
    </row>
    <row r="22" spans="1:9" x14ac:dyDescent="0.45">
      <c r="A22" s="28">
        <v>55</v>
      </c>
      <c r="B22" s="29">
        <f t="shared" si="0"/>
        <v>24.587199999999999</v>
      </c>
      <c r="C22" s="29">
        <f t="shared" si="1"/>
        <v>2.9579748968569008</v>
      </c>
      <c r="D22" s="29">
        <f t="shared" si="2"/>
        <v>3.6974686210711258</v>
      </c>
      <c r="E22" s="29">
        <f t="shared" si="3"/>
        <v>90.910400479999979</v>
      </c>
      <c r="F22" s="29">
        <f t="shared" si="4"/>
        <v>2.4699160694995772</v>
      </c>
      <c r="G22" s="29">
        <f t="shared" si="5"/>
        <v>3.0873950868744715</v>
      </c>
      <c r="H22" s="29">
        <f t="shared" si="6"/>
        <v>75.910400480000007</v>
      </c>
      <c r="I22" s="30" t="str">
        <f t="shared" si="7"/>
        <v>FREE-FLOW</v>
      </c>
    </row>
    <row r="23" spans="1:9" x14ac:dyDescent="0.45">
      <c r="A23" s="28">
        <v>60</v>
      </c>
      <c r="B23" s="29">
        <f t="shared" si="0"/>
        <v>26.822399999999998</v>
      </c>
      <c r="C23" s="29">
        <f t="shared" si="1"/>
        <v>3.2357236554521589</v>
      </c>
      <c r="D23" s="29">
        <f t="shared" si="2"/>
        <v>4.044654569315199</v>
      </c>
      <c r="E23" s="29">
        <f t="shared" si="3"/>
        <v>108.48734271999999</v>
      </c>
      <c r="F23" s="29">
        <f t="shared" si="4"/>
        <v>2.7883363970412782</v>
      </c>
      <c r="G23" s="29">
        <f t="shared" si="5"/>
        <v>3.4854204963015976</v>
      </c>
      <c r="H23" s="29">
        <f t="shared" si="6"/>
        <v>93.487342719999958</v>
      </c>
      <c r="I23" s="30" t="str">
        <f t="shared" si="7"/>
        <v>FREE-FLOW</v>
      </c>
    </row>
    <row r="24" spans="1:9" x14ac:dyDescent="0.45">
      <c r="A24" s="28">
        <v>65</v>
      </c>
      <c r="B24" s="29">
        <f t="shared" si="0"/>
        <v>29.057600000000001</v>
      </c>
      <c r="C24" s="29">
        <f t="shared" si="1"/>
        <v>3.505129528109685</v>
      </c>
      <c r="D24" s="29">
        <f t="shared" si="2"/>
        <v>4.3814119101371061</v>
      </c>
      <c r="E24" s="29">
        <f t="shared" si="3"/>
        <v>127.31331471999998</v>
      </c>
      <c r="F24" s="29">
        <f t="shared" si="4"/>
        <v>3.0921566741919491</v>
      </c>
      <c r="G24" s="29">
        <f t="shared" si="5"/>
        <v>3.8651958427399364</v>
      </c>
      <c r="H24" s="29">
        <f t="shared" si="6"/>
        <v>112.31331471999998</v>
      </c>
      <c r="I24" s="30" t="str">
        <f t="shared" si="7"/>
        <v>FREE-FLOW</v>
      </c>
    </row>
    <row r="25" spans="1:9" x14ac:dyDescent="0.45">
      <c r="A25" s="28">
        <v>68</v>
      </c>
      <c r="B25" s="29">
        <f t="shared" si="0"/>
        <v>30.398720000000001</v>
      </c>
      <c r="C25" s="29">
        <f t="shared" si="1"/>
        <v>3.6635340489283754</v>
      </c>
      <c r="D25" s="29">
        <f t="shared" si="2"/>
        <v>4.5794175611604695</v>
      </c>
      <c r="E25" s="29">
        <f t="shared" si="3"/>
        <v>139.2084322048</v>
      </c>
      <c r="F25" s="29">
        <f t="shared" si="4"/>
        <v>3.2687805856246572</v>
      </c>
      <c r="G25" s="29">
        <f t="shared" si="5"/>
        <v>4.0859757320308212</v>
      </c>
      <c r="H25" s="29">
        <f t="shared" si="6"/>
        <v>124.20843220479996</v>
      </c>
      <c r="I25" s="30" t="str">
        <f t="shared" si="7"/>
        <v>FREE-FLOW</v>
      </c>
    </row>
    <row r="26" spans="1:9" x14ac:dyDescent="0.45">
      <c r="A26" s="28">
        <v>70</v>
      </c>
      <c r="B26" s="29">
        <f t="shared" si="0"/>
        <v>31.2928</v>
      </c>
      <c r="C26" s="29">
        <f t="shared" si="1"/>
        <v>3.7679802761018508</v>
      </c>
      <c r="D26" s="29">
        <f t="shared" si="2"/>
        <v>4.7099753451273134</v>
      </c>
      <c r="E26" s="29">
        <f t="shared" si="3"/>
        <v>147.38831647999999</v>
      </c>
      <c r="F26" s="29">
        <f t="shared" si="4"/>
        <v>3.3845054831782391</v>
      </c>
      <c r="G26" s="29">
        <f t="shared" si="5"/>
        <v>4.230631853972799</v>
      </c>
      <c r="H26" s="29">
        <f t="shared" si="6"/>
        <v>132.38831648000001</v>
      </c>
      <c r="I26" s="30" t="str">
        <f t="shared" si="7"/>
        <v>FREE-FLOW</v>
      </c>
    </row>
    <row r="28" spans="1:9" x14ac:dyDescent="0.45">
      <c r="A28" s="40" t="s">
        <v>475</v>
      </c>
      <c r="B28" s="37"/>
      <c r="C28" s="37"/>
      <c r="D28" s="37"/>
      <c r="E28" s="37"/>
      <c r="F28" s="37"/>
      <c r="G28" s="37"/>
      <c r="H28" s="37"/>
      <c r="I28" s="37"/>
    </row>
    <row r="29" spans="1:9" x14ac:dyDescent="0.45">
      <c r="A29" s="37"/>
      <c r="B29" s="37"/>
      <c r="C29" s="37"/>
      <c r="D29" s="37"/>
      <c r="E29" s="37"/>
      <c r="F29" s="37"/>
      <c r="G29" s="37"/>
      <c r="H29" s="37"/>
      <c r="I29" s="37"/>
    </row>
    <row r="30" spans="1:9" x14ac:dyDescent="0.45">
      <c r="A30" s="37"/>
      <c r="B30" s="37"/>
      <c r="C30" s="37"/>
      <c r="D30" s="37"/>
      <c r="E30" s="37"/>
      <c r="F30" s="37"/>
      <c r="G30" s="37"/>
      <c r="H30" s="37"/>
      <c r="I30" s="37"/>
    </row>
    <row r="31" spans="1:9" x14ac:dyDescent="0.45">
      <c r="A31" s="37"/>
      <c r="B31" s="37"/>
      <c r="C31" s="37"/>
      <c r="D31" s="37"/>
      <c r="E31" s="37"/>
      <c r="F31" s="37"/>
      <c r="G31" s="37"/>
      <c r="H31" s="37"/>
      <c r="I31" s="37"/>
    </row>
  </sheetData>
  <mergeCells count="2">
    <mergeCell ref="A1:I1"/>
    <mergeCell ref="A28:I3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5"/>
  <sheetViews>
    <sheetView showGridLines="0" workbookViewId="0">
      <selection sqref="A1:G1"/>
    </sheetView>
  </sheetViews>
  <sheetFormatPr defaultRowHeight="14.25" x14ac:dyDescent="0.45"/>
  <cols>
    <col min="1" max="1" width="28" customWidth="1"/>
    <col min="2" max="3" width="14" customWidth="1"/>
    <col min="4" max="5" width="16" customWidth="1"/>
    <col min="6" max="6" width="12" customWidth="1"/>
    <col min="7" max="7" width="14" customWidth="1"/>
  </cols>
  <sheetData>
    <row r="1" spans="1:7" ht="17.649999999999999" x14ac:dyDescent="0.5">
      <c r="A1" s="42" t="s">
        <v>476</v>
      </c>
      <c r="B1" s="37"/>
      <c r="C1" s="37"/>
      <c r="D1" s="37"/>
      <c r="E1" s="37"/>
      <c r="F1" s="37"/>
      <c r="G1" s="37"/>
    </row>
    <row r="3" spans="1:7" x14ac:dyDescent="0.45">
      <c r="A3" s="3" t="s">
        <v>477</v>
      </c>
    </row>
    <row r="4" spans="1:7" x14ac:dyDescent="0.45">
      <c r="A4" t="s">
        <v>478</v>
      </c>
      <c r="B4" s="27">
        <v>29</v>
      </c>
    </row>
    <row r="5" spans="1:7" x14ac:dyDescent="0.45">
      <c r="A5" t="s">
        <v>479</v>
      </c>
      <c r="B5" s="27">
        <v>16</v>
      </c>
    </row>
    <row r="6" spans="1:7" x14ac:dyDescent="0.45">
      <c r="A6" t="s">
        <v>480</v>
      </c>
      <c r="B6" s="27">
        <v>0</v>
      </c>
    </row>
    <row r="7" spans="1:7" x14ac:dyDescent="0.45">
      <c r="A7" t="s">
        <v>107</v>
      </c>
      <c r="B7" s="24">
        <f>'Actor Layer'!C21</f>
        <v>2</v>
      </c>
    </row>
    <row r="8" spans="1:7" x14ac:dyDescent="0.45">
      <c r="A8" t="s">
        <v>104</v>
      </c>
      <c r="B8" s="24">
        <f>'Actor Layer'!C20</f>
        <v>0.25</v>
      </c>
    </row>
    <row r="10" spans="1:7" ht="26.25" x14ac:dyDescent="0.45">
      <c r="A10" s="12" t="s">
        <v>481</v>
      </c>
      <c r="B10" s="12" t="s">
        <v>482</v>
      </c>
      <c r="C10" s="12" t="s">
        <v>483</v>
      </c>
      <c r="D10" s="12" t="s">
        <v>484</v>
      </c>
      <c r="E10" s="12" t="s">
        <v>485</v>
      </c>
      <c r="F10" s="12" t="s">
        <v>486</v>
      </c>
      <c r="G10" s="12" t="s">
        <v>487</v>
      </c>
    </row>
    <row r="11" spans="1:7" x14ac:dyDescent="0.45">
      <c r="A11" s="31" t="s">
        <v>488</v>
      </c>
      <c r="B11" s="29">
        <f>'Actor Layer'!C6</f>
        <v>5</v>
      </c>
      <c r="C11" s="29">
        <f>'Actor Layer'!C9</f>
        <v>1.1499999999999999</v>
      </c>
      <c r="D11" s="29">
        <f>$B$4/(2*B11)+C11-($B$5+$B$6)/$B$4</f>
        <v>3.4982758620689651</v>
      </c>
      <c r="E11" s="29">
        <f>MAX($B$7,D11)*(1+$B$8)</f>
        <v>4.3728448275862064</v>
      </c>
      <c r="F11" s="29">
        <f>$B$4*E11</f>
        <v>126.81249999999999</v>
      </c>
      <c r="G11" s="29">
        <f>E11-E$11</f>
        <v>0</v>
      </c>
    </row>
    <row r="12" spans="1:7" x14ac:dyDescent="0.45">
      <c r="A12" s="31" t="s">
        <v>489</v>
      </c>
      <c r="B12" s="29">
        <f>'Actor Layer'!C6*0.8</f>
        <v>4</v>
      </c>
      <c r="C12" s="29">
        <f>'Actor Layer'!C9</f>
        <v>1.1499999999999999</v>
      </c>
      <c r="D12" s="29">
        <f>$B$4/(2*B12)+C12-($B$5+$B$6)/$B$4</f>
        <v>4.2232758620689657</v>
      </c>
      <c r="E12" s="29">
        <f>MAX($B$7,D12)*(1+$B$8)</f>
        <v>5.2790948275862073</v>
      </c>
      <c r="F12" s="29">
        <f>$B$4*E12</f>
        <v>153.09375</v>
      </c>
      <c r="G12" s="29">
        <f>E12-E$11</f>
        <v>0.90625000000000089</v>
      </c>
    </row>
    <row r="13" spans="1:7" x14ac:dyDescent="0.45">
      <c r="A13" s="31" t="s">
        <v>490</v>
      </c>
      <c r="B13" s="29">
        <f>'Actor Layer'!C6</f>
        <v>5</v>
      </c>
      <c r="C13" s="29">
        <f>'Actor Layer'!C9*1.2</f>
        <v>1.38</v>
      </c>
      <c r="D13" s="29">
        <f>$B$4/(2*B13)+C13-($B$5+$B$6)/$B$4</f>
        <v>3.7282758620689647</v>
      </c>
      <c r="E13" s="29">
        <f>MAX($B$7,D13)*(1+$B$8)</f>
        <v>4.6603448275862061</v>
      </c>
      <c r="F13" s="29">
        <f>$B$4*E13</f>
        <v>135.14999999999998</v>
      </c>
      <c r="G13" s="29">
        <f>E13-E$11</f>
        <v>0.28749999999999964</v>
      </c>
    </row>
    <row r="14" spans="1:7" x14ac:dyDescent="0.45">
      <c r="A14" s="31" t="s">
        <v>491</v>
      </c>
      <c r="B14" s="29">
        <f>'Actor Layer'!C6*0.8</f>
        <v>4</v>
      </c>
      <c r="C14" s="29">
        <f>'Actor Layer'!C9*1.2</f>
        <v>1.38</v>
      </c>
      <c r="D14" s="29">
        <f>$B$4/(2*B14)+C14-($B$5+$B$6)/$B$4</f>
        <v>4.4532758620689652</v>
      </c>
      <c r="E14" s="29">
        <f>MAX($B$7,D14)*(1+$B$8)</f>
        <v>5.5665948275862061</v>
      </c>
      <c r="F14" s="29">
        <f>$B$4*E14</f>
        <v>161.43124999999998</v>
      </c>
      <c r="G14" s="29">
        <f>E14-E$11</f>
        <v>1.1937499999999996</v>
      </c>
    </row>
    <row r="15" spans="1:7" x14ac:dyDescent="0.45">
      <c r="A15" s="31" t="s">
        <v>492</v>
      </c>
      <c r="B15" s="29">
        <f>'Actor Layer'!C6*1.1</f>
        <v>5.5</v>
      </c>
      <c r="C15" s="29">
        <f>'Actor Layer'!C9*0.9</f>
        <v>1.0349999999999999</v>
      </c>
      <c r="D15" s="29">
        <f>$B$4/(2*B15)+C15-($B$5+$B$6)/$B$4</f>
        <v>3.1196394984326012</v>
      </c>
      <c r="E15" s="29">
        <f>MAX($B$7,D15)*(1+$B$8)</f>
        <v>3.8995493730407516</v>
      </c>
      <c r="F15" s="29">
        <f>$B$4*E15</f>
        <v>113.0869318181818</v>
      </c>
      <c r="G15" s="29">
        <f>E15-E$11</f>
        <v>-0.47329545454545485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5"/>
  <sheetViews>
    <sheetView showGridLines="0" workbookViewId="0">
      <selection sqref="A1:H1"/>
    </sheetView>
  </sheetViews>
  <sheetFormatPr defaultRowHeight="14.25" x14ac:dyDescent="0.45"/>
  <cols>
    <col min="1" max="1" width="10" customWidth="1"/>
    <col min="2" max="2" width="20" customWidth="1"/>
    <col min="3" max="3" width="16" customWidth="1"/>
    <col min="4" max="4" width="20" customWidth="1"/>
    <col min="5" max="5" width="18" customWidth="1"/>
    <col min="6" max="6" width="20" customWidth="1"/>
    <col min="7" max="7" width="16" customWidth="1"/>
    <col min="8" max="8" width="50" customWidth="1"/>
  </cols>
  <sheetData>
    <row r="1" spans="1:8" ht="17.649999999999999" x14ac:dyDescent="0.5">
      <c r="A1" s="42" t="s">
        <v>493</v>
      </c>
      <c r="B1" s="37"/>
      <c r="C1" s="37"/>
      <c r="D1" s="37"/>
      <c r="E1" s="37"/>
      <c r="F1" s="37"/>
      <c r="G1" s="37"/>
      <c r="H1" s="37"/>
    </row>
    <row r="3" spans="1:8" ht="30" customHeight="1" x14ac:dyDescent="0.45">
      <c r="A3" s="12" t="s">
        <v>223</v>
      </c>
      <c r="B3" s="12" t="s">
        <v>494</v>
      </c>
      <c r="C3" s="12" t="s">
        <v>495</v>
      </c>
      <c r="D3" s="12" t="s">
        <v>496</v>
      </c>
      <c r="E3" s="12" t="s">
        <v>497</v>
      </c>
      <c r="F3" s="12" t="s">
        <v>498</v>
      </c>
      <c r="G3" s="12" t="s">
        <v>499</v>
      </c>
      <c r="H3" s="12" t="s">
        <v>500</v>
      </c>
    </row>
    <row r="4" spans="1:8" x14ac:dyDescent="0.45">
      <c r="A4" s="13" t="s">
        <v>234</v>
      </c>
      <c r="B4" s="13" t="s">
        <v>501</v>
      </c>
      <c r="C4" s="13" t="s">
        <v>502</v>
      </c>
      <c r="D4" s="13" t="s">
        <v>503</v>
      </c>
      <c r="E4" s="13" t="s">
        <v>504</v>
      </c>
      <c r="F4" s="13" t="s">
        <v>505</v>
      </c>
      <c r="G4" s="13">
        <v>9</v>
      </c>
      <c r="H4" s="13" t="s">
        <v>506</v>
      </c>
    </row>
    <row r="5" spans="1:8" x14ac:dyDescent="0.45">
      <c r="A5" s="16" t="s">
        <v>245</v>
      </c>
      <c r="B5" s="16" t="s">
        <v>501</v>
      </c>
      <c r="C5" s="16" t="s">
        <v>507</v>
      </c>
      <c r="D5" s="16" t="s">
        <v>503</v>
      </c>
      <c r="E5" s="16" t="s">
        <v>504</v>
      </c>
      <c r="F5" s="16" t="s">
        <v>505</v>
      </c>
      <c r="G5" s="16">
        <v>9</v>
      </c>
      <c r="H5" s="16" t="s">
        <v>508</v>
      </c>
    </row>
    <row r="6" spans="1:8" x14ac:dyDescent="0.45">
      <c r="A6" s="13" t="s">
        <v>254</v>
      </c>
      <c r="B6" s="13" t="s">
        <v>509</v>
      </c>
      <c r="C6" s="13" t="s">
        <v>502</v>
      </c>
      <c r="D6" s="13" t="s">
        <v>510</v>
      </c>
      <c r="E6" s="13" t="s">
        <v>504</v>
      </c>
      <c r="F6" s="13" t="s">
        <v>505</v>
      </c>
      <c r="G6" s="13">
        <v>5</v>
      </c>
      <c r="H6" s="13" t="s">
        <v>511</v>
      </c>
    </row>
    <row r="7" spans="1:8" x14ac:dyDescent="0.45">
      <c r="A7" s="16" t="s">
        <v>263</v>
      </c>
      <c r="B7" s="16" t="s">
        <v>509</v>
      </c>
      <c r="C7" s="16" t="s">
        <v>512</v>
      </c>
      <c r="D7" s="16" t="s">
        <v>503</v>
      </c>
      <c r="E7" s="16" t="s">
        <v>504</v>
      </c>
      <c r="F7" s="16" t="s">
        <v>505</v>
      </c>
      <c r="G7" s="16">
        <v>6</v>
      </c>
      <c r="H7" s="16" t="s">
        <v>513</v>
      </c>
    </row>
    <row r="8" spans="1:8" x14ac:dyDescent="0.45">
      <c r="A8" s="13" t="s">
        <v>272</v>
      </c>
      <c r="B8" s="13" t="s">
        <v>514</v>
      </c>
      <c r="C8" s="13" t="s">
        <v>502</v>
      </c>
      <c r="D8" s="13" t="s">
        <v>515</v>
      </c>
      <c r="E8" s="13" t="s">
        <v>516</v>
      </c>
      <c r="F8" s="13" t="s">
        <v>505</v>
      </c>
      <c r="G8" s="13">
        <v>6</v>
      </c>
      <c r="H8" s="13" t="s">
        <v>517</v>
      </c>
    </row>
    <row r="9" spans="1:8" x14ac:dyDescent="0.45">
      <c r="A9" s="16" t="s">
        <v>281</v>
      </c>
      <c r="B9" s="16" t="s">
        <v>509</v>
      </c>
      <c r="C9" s="16" t="s">
        <v>518</v>
      </c>
      <c r="D9" s="16" t="s">
        <v>519</v>
      </c>
      <c r="E9" s="16" t="s">
        <v>520</v>
      </c>
      <c r="F9" s="16" t="s">
        <v>505</v>
      </c>
      <c r="G9" s="16">
        <v>6</v>
      </c>
      <c r="H9" s="16" t="s">
        <v>521</v>
      </c>
    </row>
    <row r="10" spans="1:8" x14ac:dyDescent="0.45">
      <c r="A10" s="13" t="s">
        <v>291</v>
      </c>
      <c r="B10" s="13" t="s">
        <v>509</v>
      </c>
      <c r="C10" s="13" t="s">
        <v>518</v>
      </c>
      <c r="D10" s="13" t="s">
        <v>518</v>
      </c>
      <c r="E10" s="13" t="s">
        <v>519</v>
      </c>
      <c r="F10" s="13" t="s">
        <v>505</v>
      </c>
      <c r="G10" s="13">
        <v>6</v>
      </c>
      <c r="H10" s="13" t="s">
        <v>522</v>
      </c>
    </row>
    <row r="11" spans="1:8" x14ac:dyDescent="0.45">
      <c r="A11" s="16" t="s">
        <v>299</v>
      </c>
      <c r="B11" s="16" t="s">
        <v>523</v>
      </c>
      <c r="C11" s="16" t="s">
        <v>518</v>
      </c>
      <c r="D11" s="16" t="s">
        <v>524</v>
      </c>
      <c r="E11" s="16" t="s">
        <v>525</v>
      </c>
      <c r="F11" s="16" t="s">
        <v>505</v>
      </c>
      <c r="G11" s="16">
        <v>3</v>
      </c>
      <c r="H11" s="16" t="s">
        <v>526</v>
      </c>
    </row>
    <row r="12" spans="1:8" x14ac:dyDescent="0.45">
      <c r="A12" s="13" t="s">
        <v>307</v>
      </c>
      <c r="B12" s="13" t="s">
        <v>527</v>
      </c>
      <c r="C12" s="13" t="s">
        <v>518</v>
      </c>
      <c r="D12" s="13" t="s">
        <v>524</v>
      </c>
      <c r="E12" s="13" t="s">
        <v>525</v>
      </c>
      <c r="F12" s="13" t="s">
        <v>505</v>
      </c>
      <c r="G12" s="13">
        <v>6</v>
      </c>
      <c r="H12" s="13" t="s">
        <v>528</v>
      </c>
    </row>
    <row r="13" spans="1:8" x14ac:dyDescent="0.45">
      <c r="A13" s="16" t="s">
        <v>316</v>
      </c>
      <c r="B13" s="16" t="s">
        <v>529</v>
      </c>
      <c r="C13" s="16" t="s">
        <v>530</v>
      </c>
      <c r="D13" s="16" t="s">
        <v>503</v>
      </c>
      <c r="E13" s="16" t="s">
        <v>531</v>
      </c>
      <c r="F13" s="16" t="s">
        <v>505</v>
      </c>
      <c r="G13" s="16">
        <v>6</v>
      </c>
      <c r="H13" s="16" t="s">
        <v>532</v>
      </c>
    </row>
    <row r="14" spans="1:8" x14ac:dyDescent="0.45">
      <c r="A14" s="13" t="s">
        <v>326</v>
      </c>
      <c r="B14" s="13" t="s">
        <v>514</v>
      </c>
      <c r="C14" s="13" t="s">
        <v>92</v>
      </c>
      <c r="D14" s="13" t="s">
        <v>92</v>
      </c>
      <c r="E14" s="13" t="s">
        <v>92</v>
      </c>
      <c r="F14" s="13" t="s">
        <v>505</v>
      </c>
      <c r="G14" s="13">
        <v>4</v>
      </c>
      <c r="H14" s="13" t="s">
        <v>533</v>
      </c>
    </row>
    <row r="15" spans="1:8" x14ac:dyDescent="0.45">
      <c r="A15" s="16" t="s">
        <v>336</v>
      </c>
      <c r="B15" s="16" t="s">
        <v>514</v>
      </c>
      <c r="C15" s="16" t="s">
        <v>92</v>
      </c>
      <c r="D15" s="16" t="s">
        <v>92</v>
      </c>
      <c r="E15" s="16" t="s">
        <v>92</v>
      </c>
      <c r="F15" s="16" t="s">
        <v>505</v>
      </c>
      <c r="G15" s="16">
        <v>4</v>
      </c>
      <c r="H15" s="16" t="s">
        <v>534</v>
      </c>
    </row>
    <row r="16" spans="1:8" x14ac:dyDescent="0.45">
      <c r="A16" s="13" t="s">
        <v>343</v>
      </c>
      <c r="B16" s="13" t="s">
        <v>514</v>
      </c>
      <c r="C16" s="13" t="s">
        <v>92</v>
      </c>
      <c r="D16" s="13" t="s">
        <v>92</v>
      </c>
      <c r="E16" s="13" t="s">
        <v>92</v>
      </c>
      <c r="F16" s="13" t="s">
        <v>505</v>
      </c>
      <c r="G16" s="13">
        <v>4</v>
      </c>
      <c r="H16" s="13" t="s">
        <v>535</v>
      </c>
    </row>
    <row r="17" spans="1:8" x14ac:dyDescent="0.45">
      <c r="A17" s="16" t="s">
        <v>352</v>
      </c>
      <c r="B17" s="16" t="s">
        <v>529</v>
      </c>
      <c r="C17" s="16" t="s">
        <v>530</v>
      </c>
      <c r="D17" s="16" t="s">
        <v>92</v>
      </c>
      <c r="E17" s="16" t="s">
        <v>92</v>
      </c>
      <c r="F17" s="16" t="s">
        <v>505</v>
      </c>
      <c r="G17" s="16">
        <v>4</v>
      </c>
      <c r="H17" s="16" t="s">
        <v>536</v>
      </c>
    </row>
    <row r="18" spans="1:8" x14ac:dyDescent="0.45">
      <c r="A18" s="13" t="s">
        <v>361</v>
      </c>
      <c r="B18" s="13" t="s">
        <v>529</v>
      </c>
      <c r="C18" s="13" t="s">
        <v>530</v>
      </c>
      <c r="D18" s="13" t="s">
        <v>92</v>
      </c>
      <c r="E18" s="13" t="s">
        <v>92</v>
      </c>
      <c r="F18" s="13" t="s">
        <v>505</v>
      </c>
      <c r="G18" s="13">
        <v>4</v>
      </c>
      <c r="H18" s="13" t="s">
        <v>537</v>
      </c>
    </row>
    <row r="19" spans="1:8" x14ac:dyDescent="0.45">
      <c r="A19" s="16" t="s">
        <v>369</v>
      </c>
      <c r="B19" s="16" t="s">
        <v>509</v>
      </c>
      <c r="C19" s="16" t="s">
        <v>92</v>
      </c>
      <c r="D19" s="16" t="s">
        <v>92</v>
      </c>
      <c r="E19" s="16" t="s">
        <v>92</v>
      </c>
      <c r="F19" s="16" t="s">
        <v>505</v>
      </c>
      <c r="G19" s="16">
        <v>4</v>
      </c>
      <c r="H19" s="16" t="s">
        <v>538</v>
      </c>
    </row>
    <row r="20" spans="1:8" x14ac:dyDescent="0.45">
      <c r="A20" s="13" t="s">
        <v>379</v>
      </c>
      <c r="B20" s="13" t="s">
        <v>509</v>
      </c>
      <c r="C20" s="13" t="s">
        <v>92</v>
      </c>
      <c r="D20" s="13" t="s">
        <v>92</v>
      </c>
      <c r="E20" s="13" t="s">
        <v>92</v>
      </c>
      <c r="F20" s="13" t="s">
        <v>505</v>
      </c>
      <c r="G20" s="13">
        <v>3</v>
      </c>
      <c r="H20" s="13" t="s">
        <v>539</v>
      </c>
    </row>
    <row r="21" spans="1:8" x14ac:dyDescent="0.45">
      <c r="A21" s="16" t="s">
        <v>388</v>
      </c>
      <c r="B21" s="16" t="s">
        <v>514</v>
      </c>
      <c r="C21" s="16" t="s">
        <v>92</v>
      </c>
      <c r="D21" s="16" t="s">
        <v>92</v>
      </c>
      <c r="E21" s="16" t="s">
        <v>92</v>
      </c>
      <c r="F21" s="16" t="s">
        <v>505</v>
      </c>
      <c r="G21" s="16">
        <v>3</v>
      </c>
      <c r="H21" s="16" t="s">
        <v>540</v>
      </c>
    </row>
    <row r="22" spans="1:8" x14ac:dyDescent="0.45">
      <c r="A22" s="13" t="s">
        <v>395</v>
      </c>
      <c r="B22" s="13" t="s">
        <v>501</v>
      </c>
      <c r="C22" s="13" t="s">
        <v>92</v>
      </c>
      <c r="D22" s="13" t="s">
        <v>92</v>
      </c>
      <c r="E22" s="13" t="s">
        <v>92</v>
      </c>
      <c r="F22" s="13" t="s">
        <v>541</v>
      </c>
      <c r="G22" s="13">
        <v>4</v>
      </c>
      <c r="H22" s="13" t="s">
        <v>542</v>
      </c>
    </row>
    <row r="23" spans="1:8" x14ac:dyDescent="0.45">
      <c r="A23" s="16" t="s">
        <v>405</v>
      </c>
      <c r="B23" s="16" t="s">
        <v>529</v>
      </c>
      <c r="C23" s="16" t="s">
        <v>92</v>
      </c>
      <c r="D23" s="16" t="s">
        <v>92</v>
      </c>
      <c r="E23" s="16" t="s">
        <v>92</v>
      </c>
      <c r="F23" s="16" t="s">
        <v>543</v>
      </c>
      <c r="G23" s="16">
        <v>3</v>
      </c>
      <c r="H23" s="16" t="s">
        <v>544</v>
      </c>
    </row>
    <row r="24" spans="1:8" x14ac:dyDescent="0.45">
      <c r="A24" s="13" t="s">
        <v>413</v>
      </c>
      <c r="B24" s="13" t="s">
        <v>509</v>
      </c>
      <c r="C24" s="13" t="s">
        <v>92</v>
      </c>
      <c r="D24" s="13" t="s">
        <v>92</v>
      </c>
      <c r="E24" s="13" t="s">
        <v>92</v>
      </c>
      <c r="F24" s="13" t="s">
        <v>545</v>
      </c>
      <c r="G24" s="13">
        <v>3</v>
      </c>
      <c r="H24" s="13" t="s">
        <v>546</v>
      </c>
    </row>
    <row r="25" spans="1:8" x14ac:dyDescent="0.45">
      <c r="A25" s="16" t="s">
        <v>421</v>
      </c>
      <c r="B25" s="16" t="s">
        <v>501</v>
      </c>
      <c r="C25" s="16" t="s">
        <v>92</v>
      </c>
      <c r="D25" s="16" t="s">
        <v>92</v>
      </c>
      <c r="E25" s="16" t="s">
        <v>92</v>
      </c>
      <c r="F25" s="16" t="s">
        <v>545</v>
      </c>
      <c r="G25" s="16">
        <v>3</v>
      </c>
      <c r="H25" s="16" t="s">
        <v>547</v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9"/>
  <sheetViews>
    <sheetView showGridLines="0" workbookViewId="0">
      <selection sqref="A1:E1"/>
    </sheetView>
  </sheetViews>
  <sheetFormatPr defaultRowHeight="14.25" x14ac:dyDescent="0.45"/>
  <cols>
    <col min="1" max="1" width="28" customWidth="1"/>
    <col min="2" max="2" width="38" customWidth="1"/>
    <col min="3" max="3" width="34" customWidth="1"/>
    <col min="4" max="4" width="14" customWidth="1"/>
    <col min="5" max="5" width="36" customWidth="1"/>
  </cols>
  <sheetData>
    <row r="1" spans="1:5" ht="17.649999999999999" x14ac:dyDescent="0.5">
      <c r="A1" s="42" t="s">
        <v>548</v>
      </c>
      <c r="B1" s="37"/>
      <c r="C1" s="37"/>
      <c r="D1" s="37"/>
      <c r="E1" s="37"/>
    </row>
    <row r="3" spans="1:5" x14ac:dyDescent="0.45">
      <c r="A3" s="12" t="s">
        <v>549</v>
      </c>
      <c r="B3" s="12" t="s">
        <v>550</v>
      </c>
      <c r="C3" s="12" t="s">
        <v>551</v>
      </c>
      <c r="D3" s="12" t="s">
        <v>18</v>
      </c>
      <c r="E3" s="12" t="s">
        <v>500</v>
      </c>
    </row>
    <row r="4" spans="1:5" x14ac:dyDescent="0.45">
      <c r="A4" s="13" t="s">
        <v>552</v>
      </c>
      <c r="B4" s="13" t="s">
        <v>553</v>
      </c>
      <c r="C4" s="13" t="s">
        <v>554</v>
      </c>
      <c r="D4" s="32" t="s">
        <v>555</v>
      </c>
      <c r="E4" s="13" t="s">
        <v>556</v>
      </c>
    </row>
    <row r="5" spans="1:5" x14ac:dyDescent="0.45">
      <c r="A5" s="16" t="s">
        <v>557</v>
      </c>
      <c r="B5" s="16" t="s">
        <v>558</v>
      </c>
      <c r="C5" s="16" t="s">
        <v>559</v>
      </c>
      <c r="D5" s="32" t="s">
        <v>555</v>
      </c>
      <c r="E5" s="16" t="s">
        <v>560</v>
      </c>
    </row>
    <row r="6" spans="1:5" x14ac:dyDescent="0.45">
      <c r="A6" s="13" t="s">
        <v>561</v>
      </c>
      <c r="B6" s="13" t="s">
        <v>562</v>
      </c>
      <c r="C6" s="13" t="s">
        <v>563</v>
      </c>
      <c r="D6" s="32" t="s">
        <v>555</v>
      </c>
      <c r="E6" s="13"/>
    </row>
    <row r="7" spans="1:5" x14ac:dyDescent="0.45">
      <c r="A7" s="16" t="s">
        <v>564</v>
      </c>
      <c r="B7" s="16" t="s">
        <v>565</v>
      </c>
      <c r="C7" s="16" t="s">
        <v>343</v>
      </c>
      <c r="D7" s="32" t="s">
        <v>555</v>
      </c>
      <c r="E7" s="16"/>
    </row>
    <row r="8" spans="1:5" x14ac:dyDescent="0.45">
      <c r="A8" s="13" t="s">
        <v>566</v>
      </c>
      <c r="B8" s="13" t="s">
        <v>567</v>
      </c>
      <c r="C8" s="13" t="s">
        <v>568</v>
      </c>
      <c r="D8" s="32" t="s">
        <v>555</v>
      </c>
      <c r="E8" s="13"/>
    </row>
    <row r="9" spans="1:5" x14ac:dyDescent="0.45">
      <c r="A9" s="16" t="s">
        <v>569</v>
      </c>
      <c r="B9" s="16" t="s">
        <v>570</v>
      </c>
      <c r="C9" s="16" t="s">
        <v>571</v>
      </c>
      <c r="D9" s="32" t="s">
        <v>555</v>
      </c>
      <c r="E9" s="16" t="s">
        <v>572</v>
      </c>
    </row>
    <row r="10" spans="1:5" x14ac:dyDescent="0.45">
      <c r="A10" s="13" t="s">
        <v>573</v>
      </c>
      <c r="B10" s="13" t="s">
        <v>574</v>
      </c>
      <c r="C10" s="13" t="s">
        <v>343</v>
      </c>
      <c r="D10" s="32" t="s">
        <v>555</v>
      </c>
      <c r="E10" s="13"/>
    </row>
    <row r="11" spans="1:5" x14ac:dyDescent="0.45">
      <c r="A11" s="16" t="s">
        <v>575</v>
      </c>
      <c r="B11" s="16" t="s">
        <v>576</v>
      </c>
      <c r="C11" s="16" t="s">
        <v>577</v>
      </c>
      <c r="D11" s="32" t="s">
        <v>555</v>
      </c>
      <c r="E11" s="16"/>
    </row>
    <row r="12" spans="1:5" x14ac:dyDescent="0.45">
      <c r="A12" s="13" t="s">
        <v>578</v>
      </c>
      <c r="B12" s="13" t="s">
        <v>579</v>
      </c>
      <c r="C12" s="13" t="s">
        <v>379</v>
      </c>
      <c r="D12" s="32" t="s">
        <v>555</v>
      </c>
      <c r="E12" s="13"/>
    </row>
    <row r="13" spans="1:5" x14ac:dyDescent="0.45">
      <c r="A13" s="16" t="s">
        <v>580</v>
      </c>
      <c r="B13" s="16" t="s">
        <v>581</v>
      </c>
      <c r="C13" s="16" t="s">
        <v>395</v>
      </c>
      <c r="D13" s="32" t="s">
        <v>555</v>
      </c>
      <c r="E13" s="16" t="s">
        <v>582</v>
      </c>
    </row>
    <row r="14" spans="1:5" x14ac:dyDescent="0.45">
      <c r="A14" s="13" t="s">
        <v>583</v>
      </c>
      <c r="B14" s="13" t="s">
        <v>584</v>
      </c>
      <c r="C14" s="13" t="s">
        <v>585</v>
      </c>
      <c r="D14" s="32" t="s">
        <v>555</v>
      </c>
      <c r="E14" s="13"/>
    </row>
    <row r="15" spans="1:5" x14ac:dyDescent="0.45">
      <c r="A15" s="16" t="s">
        <v>586</v>
      </c>
      <c r="B15" s="16" t="s">
        <v>587</v>
      </c>
      <c r="C15" s="16" t="s">
        <v>421</v>
      </c>
      <c r="D15" s="32" t="s">
        <v>555</v>
      </c>
      <c r="E15" s="16"/>
    </row>
    <row r="16" spans="1:5" x14ac:dyDescent="0.45">
      <c r="A16" s="13" t="s">
        <v>588</v>
      </c>
      <c r="B16" s="13" t="s">
        <v>589</v>
      </c>
      <c r="C16" s="13" t="s">
        <v>590</v>
      </c>
      <c r="D16" s="32" t="s">
        <v>555</v>
      </c>
      <c r="E16" s="13"/>
    </row>
    <row r="17" spans="1:5" x14ac:dyDescent="0.45">
      <c r="A17" s="16" t="s">
        <v>591</v>
      </c>
      <c r="B17" s="16" t="s">
        <v>592</v>
      </c>
      <c r="C17" s="16" t="s">
        <v>92</v>
      </c>
      <c r="D17" s="33" t="s">
        <v>593</v>
      </c>
      <c r="E17" s="16" t="s">
        <v>594</v>
      </c>
    </row>
    <row r="18" spans="1:5" x14ac:dyDescent="0.45">
      <c r="A18" s="13" t="s">
        <v>595</v>
      </c>
      <c r="B18" s="13" t="s">
        <v>596</v>
      </c>
      <c r="C18" s="13" t="s">
        <v>597</v>
      </c>
      <c r="D18" s="34" t="s">
        <v>598</v>
      </c>
      <c r="E18" s="13" t="s">
        <v>599</v>
      </c>
    </row>
    <row r="19" spans="1:5" x14ac:dyDescent="0.45">
      <c r="A19" s="16" t="s">
        <v>600</v>
      </c>
      <c r="B19" s="16" t="s">
        <v>601</v>
      </c>
      <c r="C19" s="16" t="s">
        <v>602</v>
      </c>
      <c r="D19" s="32" t="s">
        <v>555</v>
      </c>
      <c r="E19" s="16" t="s">
        <v>603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7"/>
  <sheetViews>
    <sheetView showGridLines="0" workbookViewId="0">
      <pane xSplit="2" ySplit="3" topLeftCell="C4" activePane="bottomRight" state="frozen"/>
      <selection pane="topRight"/>
      <selection pane="bottomLeft"/>
      <selection pane="bottomRight" sqref="A1:G1"/>
    </sheetView>
  </sheetViews>
  <sheetFormatPr defaultRowHeight="14.25" x14ac:dyDescent="0.45"/>
  <cols>
    <col min="1" max="1" width="10" customWidth="1"/>
    <col min="2" max="2" width="30" customWidth="1"/>
    <col min="3" max="3" width="58" customWidth="1"/>
    <col min="4" max="4" width="48" customWidth="1"/>
    <col min="5" max="6" width="30" customWidth="1"/>
    <col min="7" max="7" width="36" customWidth="1"/>
  </cols>
  <sheetData>
    <row r="1" spans="1:7" ht="17.649999999999999" x14ac:dyDescent="0.5">
      <c r="A1" s="42" t="s">
        <v>604</v>
      </c>
      <c r="B1" s="37"/>
      <c r="C1" s="37"/>
      <c r="D1" s="37"/>
      <c r="E1" s="37"/>
      <c r="F1" s="37"/>
      <c r="G1" s="37"/>
    </row>
    <row r="3" spans="1:7" ht="30" customHeight="1" x14ac:dyDescent="0.45">
      <c r="A3" s="12" t="s">
        <v>605</v>
      </c>
      <c r="B3" s="12" t="s">
        <v>606</v>
      </c>
      <c r="C3" s="12" t="s">
        <v>607</v>
      </c>
      <c r="D3" s="12" t="s">
        <v>608</v>
      </c>
      <c r="E3" s="12" t="s">
        <v>609</v>
      </c>
      <c r="F3" s="12" t="s">
        <v>610</v>
      </c>
      <c r="G3" s="12" t="s">
        <v>611</v>
      </c>
    </row>
    <row r="4" spans="1:7" ht="80" customHeight="1" x14ac:dyDescent="0.45">
      <c r="A4" s="35" t="s">
        <v>612</v>
      </c>
      <c r="B4" s="13" t="s">
        <v>613</v>
      </c>
      <c r="C4" s="13" t="s">
        <v>614</v>
      </c>
      <c r="D4" s="13" t="s">
        <v>615</v>
      </c>
      <c r="E4" s="13" t="s">
        <v>616</v>
      </c>
      <c r="F4" s="13" t="s">
        <v>617</v>
      </c>
      <c r="G4" s="13" t="s">
        <v>618</v>
      </c>
    </row>
    <row r="5" spans="1:7" ht="80" customHeight="1" x14ac:dyDescent="0.45">
      <c r="A5" s="18" t="s">
        <v>619</v>
      </c>
      <c r="B5" s="16" t="s">
        <v>620</v>
      </c>
      <c r="C5" s="16" t="s">
        <v>621</v>
      </c>
      <c r="D5" s="16" t="s">
        <v>622</v>
      </c>
      <c r="E5" s="16" t="s">
        <v>623</v>
      </c>
      <c r="F5" s="16" t="s">
        <v>624</v>
      </c>
      <c r="G5" s="16" t="s">
        <v>625</v>
      </c>
    </row>
    <row r="6" spans="1:7" ht="80" customHeight="1" x14ac:dyDescent="0.45">
      <c r="A6" s="35" t="s">
        <v>626</v>
      </c>
      <c r="B6" s="13" t="s">
        <v>627</v>
      </c>
      <c r="C6" s="13" t="s">
        <v>628</v>
      </c>
      <c r="D6" s="13" t="s">
        <v>629</v>
      </c>
      <c r="E6" s="13" t="s">
        <v>630</v>
      </c>
      <c r="F6" s="13" t="s">
        <v>631</v>
      </c>
      <c r="G6" s="13" t="s">
        <v>632</v>
      </c>
    </row>
    <row r="7" spans="1:7" ht="80" customHeight="1" x14ac:dyDescent="0.45">
      <c r="A7" s="18" t="s">
        <v>633</v>
      </c>
      <c r="B7" s="16" t="s">
        <v>634</v>
      </c>
      <c r="C7" s="16" t="s">
        <v>635</v>
      </c>
      <c r="D7" s="16" t="s">
        <v>636</v>
      </c>
      <c r="E7" s="16" t="s">
        <v>637</v>
      </c>
      <c r="F7" s="16" t="s">
        <v>638</v>
      </c>
      <c r="G7" s="16" t="s">
        <v>639</v>
      </c>
    </row>
    <row r="8" spans="1:7" ht="80" customHeight="1" x14ac:dyDescent="0.45">
      <c r="A8" s="35" t="s">
        <v>640</v>
      </c>
      <c r="B8" s="13" t="s">
        <v>641</v>
      </c>
      <c r="C8" s="13" t="s">
        <v>642</v>
      </c>
      <c r="D8" s="13" t="s">
        <v>643</v>
      </c>
      <c r="E8" s="13" t="s">
        <v>644</v>
      </c>
      <c r="F8" s="13" t="s">
        <v>645</v>
      </c>
      <c r="G8" s="13" t="s">
        <v>646</v>
      </c>
    </row>
    <row r="9" spans="1:7" ht="80" customHeight="1" x14ac:dyDescent="0.45">
      <c r="A9" s="18" t="s">
        <v>647</v>
      </c>
      <c r="B9" s="16" t="s">
        <v>648</v>
      </c>
      <c r="C9" s="16" t="s">
        <v>649</v>
      </c>
      <c r="D9" s="16" t="s">
        <v>650</v>
      </c>
      <c r="E9" s="16" t="s">
        <v>651</v>
      </c>
      <c r="F9" s="16" t="s">
        <v>652</v>
      </c>
      <c r="G9" s="16" t="s">
        <v>653</v>
      </c>
    </row>
    <row r="10" spans="1:7" ht="80" customHeight="1" x14ac:dyDescent="0.45">
      <c r="A10" s="35" t="s">
        <v>654</v>
      </c>
      <c r="B10" s="13" t="s">
        <v>655</v>
      </c>
      <c r="C10" s="13" t="s">
        <v>656</v>
      </c>
      <c r="D10" s="13" t="s">
        <v>657</v>
      </c>
      <c r="E10" s="13" t="s">
        <v>658</v>
      </c>
      <c r="F10" s="13" t="s">
        <v>659</v>
      </c>
      <c r="G10" s="13" t="s">
        <v>660</v>
      </c>
    </row>
    <row r="11" spans="1:7" ht="80" customHeight="1" x14ac:dyDescent="0.45">
      <c r="A11" s="18" t="s">
        <v>661</v>
      </c>
      <c r="B11" s="16" t="s">
        <v>662</v>
      </c>
      <c r="C11" s="16" t="s">
        <v>663</v>
      </c>
      <c r="D11" s="16" t="s">
        <v>664</v>
      </c>
      <c r="E11" s="16" t="s">
        <v>665</v>
      </c>
      <c r="F11" s="16" t="s">
        <v>666</v>
      </c>
      <c r="G11" s="16" t="s">
        <v>667</v>
      </c>
    </row>
    <row r="12" spans="1:7" ht="80" customHeight="1" x14ac:dyDescent="0.45">
      <c r="A12" s="35" t="s">
        <v>668</v>
      </c>
      <c r="B12" s="13" t="s">
        <v>669</v>
      </c>
      <c r="C12" s="13" t="s">
        <v>670</v>
      </c>
      <c r="D12" s="13" t="s">
        <v>671</v>
      </c>
      <c r="E12" s="13" t="s">
        <v>672</v>
      </c>
      <c r="F12" s="13" t="s">
        <v>673</v>
      </c>
      <c r="G12" s="13" t="s">
        <v>674</v>
      </c>
    </row>
    <row r="13" spans="1:7" ht="80" customHeight="1" x14ac:dyDescent="0.45">
      <c r="A13" s="18" t="s">
        <v>675</v>
      </c>
      <c r="B13" s="16" t="s">
        <v>676</v>
      </c>
      <c r="C13" s="16" t="s">
        <v>677</v>
      </c>
      <c r="D13" s="16" t="s">
        <v>678</v>
      </c>
      <c r="E13" s="16" t="s">
        <v>679</v>
      </c>
      <c r="F13" s="16" t="s">
        <v>680</v>
      </c>
      <c r="G13" s="16" t="s">
        <v>681</v>
      </c>
    </row>
    <row r="14" spans="1:7" ht="80" customHeight="1" x14ac:dyDescent="0.45">
      <c r="A14" s="35" t="s">
        <v>682</v>
      </c>
      <c r="B14" s="13" t="s">
        <v>683</v>
      </c>
      <c r="C14" s="13" t="s">
        <v>684</v>
      </c>
      <c r="D14" s="13" t="s">
        <v>685</v>
      </c>
      <c r="E14" s="13" t="s">
        <v>686</v>
      </c>
      <c r="F14" s="13" t="s">
        <v>687</v>
      </c>
      <c r="G14" s="13" t="s">
        <v>688</v>
      </c>
    </row>
    <row r="15" spans="1:7" ht="80" customHeight="1" x14ac:dyDescent="0.45">
      <c r="A15" s="18" t="s">
        <v>689</v>
      </c>
      <c r="B15" s="16" t="s">
        <v>690</v>
      </c>
      <c r="C15" s="16" t="s">
        <v>691</v>
      </c>
      <c r="D15" s="16" t="s">
        <v>692</v>
      </c>
      <c r="E15" s="16" t="s">
        <v>693</v>
      </c>
      <c r="F15" s="16" t="s">
        <v>694</v>
      </c>
      <c r="G15" s="16" t="s">
        <v>695</v>
      </c>
    </row>
    <row r="16" spans="1:7" ht="80" customHeight="1" x14ac:dyDescent="0.45">
      <c r="A16" s="35" t="s">
        <v>696</v>
      </c>
      <c r="B16" s="13" t="s">
        <v>697</v>
      </c>
      <c r="C16" s="13" t="s">
        <v>698</v>
      </c>
      <c r="D16" s="13" t="s">
        <v>699</v>
      </c>
      <c r="E16" s="13" t="s">
        <v>700</v>
      </c>
      <c r="F16" s="13" t="s">
        <v>701</v>
      </c>
      <c r="G16" s="13" t="s">
        <v>702</v>
      </c>
    </row>
    <row r="17" spans="1:7" ht="80" customHeight="1" x14ac:dyDescent="0.45">
      <c r="A17" s="18" t="s">
        <v>703</v>
      </c>
      <c r="B17" s="16" t="s">
        <v>704</v>
      </c>
      <c r="C17" s="16" t="s">
        <v>705</v>
      </c>
      <c r="D17" s="16" t="s">
        <v>706</v>
      </c>
      <c r="E17" s="16" t="s">
        <v>707</v>
      </c>
      <c r="F17" s="16" t="s">
        <v>708</v>
      </c>
      <c r="G17" s="16" t="s">
        <v>709</v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7"/>
  <sheetViews>
    <sheetView showGridLines="0" workbookViewId="0">
      <selection sqref="A1:F1"/>
    </sheetView>
  </sheetViews>
  <sheetFormatPr defaultRowHeight="14.25" x14ac:dyDescent="0.45"/>
  <cols>
    <col min="1" max="1" width="12" customWidth="1"/>
    <col min="2" max="2" width="30" customWidth="1"/>
    <col min="3" max="3" width="40" customWidth="1"/>
    <col min="4" max="4" width="18" customWidth="1"/>
    <col min="5" max="5" width="34" customWidth="1"/>
    <col min="6" max="6" width="38" customWidth="1"/>
  </cols>
  <sheetData>
    <row r="1" spans="1:6" ht="17.649999999999999" x14ac:dyDescent="0.5">
      <c r="A1" s="42" t="s">
        <v>710</v>
      </c>
      <c r="B1" s="37"/>
      <c r="C1" s="37"/>
      <c r="D1" s="37"/>
      <c r="E1" s="37"/>
      <c r="F1" s="37"/>
    </row>
    <row r="3" spans="1:6" ht="30" customHeight="1" x14ac:dyDescent="0.45">
      <c r="A3" s="12" t="s">
        <v>711</v>
      </c>
      <c r="B3" s="12" t="s">
        <v>712</v>
      </c>
      <c r="C3" s="12" t="s">
        <v>713</v>
      </c>
      <c r="D3" s="12" t="s">
        <v>714</v>
      </c>
      <c r="E3" s="12" t="s">
        <v>715</v>
      </c>
      <c r="F3" s="12" t="s">
        <v>716</v>
      </c>
    </row>
    <row r="4" spans="1:6" ht="25.5" x14ac:dyDescent="0.45">
      <c r="A4" s="13" t="s">
        <v>612</v>
      </c>
      <c r="B4" s="13" t="s">
        <v>717</v>
      </c>
      <c r="C4" s="13" t="s">
        <v>718</v>
      </c>
      <c r="D4" s="13" t="s">
        <v>719</v>
      </c>
      <c r="E4" s="13" t="s">
        <v>720</v>
      </c>
      <c r="F4" s="13" t="s">
        <v>721</v>
      </c>
    </row>
    <row r="5" spans="1:6" x14ac:dyDescent="0.45">
      <c r="A5" s="16" t="s">
        <v>619</v>
      </c>
      <c r="B5" s="16" t="s">
        <v>722</v>
      </c>
      <c r="C5" s="16" t="s">
        <v>723</v>
      </c>
      <c r="D5" s="16" t="s">
        <v>724</v>
      </c>
      <c r="E5" s="16" t="s">
        <v>725</v>
      </c>
      <c r="F5" s="16" t="s">
        <v>726</v>
      </c>
    </row>
    <row r="6" spans="1:6" x14ac:dyDescent="0.45">
      <c r="A6" s="13" t="s">
        <v>626</v>
      </c>
      <c r="B6" s="13" t="s">
        <v>727</v>
      </c>
      <c r="C6" s="13" t="s">
        <v>728</v>
      </c>
      <c r="D6" s="13" t="s">
        <v>729</v>
      </c>
      <c r="E6" s="13" t="s">
        <v>92</v>
      </c>
      <c r="F6" s="13" t="s">
        <v>730</v>
      </c>
    </row>
    <row r="7" spans="1:6" x14ac:dyDescent="0.45">
      <c r="A7" s="16" t="s">
        <v>633</v>
      </c>
      <c r="B7" s="16" t="s">
        <v>263</v>
      </c>
      <c r="C7" s="16" t="s">
        <v>731</v>
      </c>
      <c r="D7" s="16" t="s">
        <v>732</v>
      </c>
      <c r="E7" s="16" t="s">
        <v>92</v>
      </c>
      <c r="F7" s="16" t="s">
        <v>730</v>
      </c>
    </row>
    <row r="8" spans="1:6" x14ac:dyDescent="0.45">
      <c r="A8" s="13" t="s">
        <v>640</v>
      </c>
      <c r="B8" s="13" t="s">
        <v>733</v>
      </c>
      <c r="C8" s="13" t="s">
        <v>734</v>
      </c>
      <c r="D8" s="13" t="s">
        <v>719</v>
      </c>
      <c r="E8" s="13" t="s">
        <v>735</v>
      </c>
      <c r="F8" s="13" t="s">
        <v>736</v>
      </c>
    </row>
    <row r="9" spans="1:6" x14ac:dyDescent="0.45">
      <c r="A9" s="16" t="s">
        <v>647</v>
      </c>
      <c r="B9" s="16" t="s">
        <v>307</v>
      </c>
      <c r="C9" s="16" t="s">
        <v>737</v>
      </c>
      <c r="D9" s="16" t="s">
        <v>738</v>
      </c>
      <c r="E9" s="16" t="s">
        <v>739</v>
      </c>
      <c r="F9" s="16" t="s">
        <v>730</v>
      </c>
    </row>
    <row r="10" spans="1:6" x14ac:dyDescent="0.45">
      <c r="A10" s="13" t="s">
        <v>654</v>
      </c>
      <c r="B10" s="13" t="s">
        <v>740</v>
      </c>
      <c r="C10" s="13" t="s">
        <v>741</v>
      </c>
      <c r="D10" s="13" t="s">
        <v>729</v>
      </c>
      <c r="E10" s="13" t="s">
        <v>742</v>
      </c>
      <c r="F10" s="13" t="s">
        <v>730</v>
      </c>
    </row>
    <row r="11" spans="1:6" x14ac:dyDescent="0.45">
      <c r="A11" s="16" t="s">
        <v>661</v>
      </c>
      <c r="B11" s="16" t="s">
        <v>743</v>
      </c>
      <c r="C11" s="16" t="s">
        <v>744</v>
      </c>
      <c r="D11" s="16" t="s">
        <v>745</v>
      </c>
      <c r="E11" s="16" t="s">
        <v>746</v>
      </c>
      <c r="F11" s="16" t="s">
        <v>747</v>
      </c>
    </row>
    <row r="12" spans="1:6" x14ac:dyDescent="0.45">
      <c r="A12" s="13" t="s">
        <v>668</v>
      </c>
      <c r="B12" s="13" t="s">
        <v>336</v>
      </c>
      <c r="C12" s="13" t="s">
        <v>748</v>
      </c>
      <c r="D12" s="13" t="s">
        <v>729</v>
      </c>
      <c r="E12" s="13" t="s">
        <v>749</v>
      </c>
      <c r="F12" s="13" t="s">
        <v>730</v>
      </c>
    </row>
    <row r="13" spans="1:6" x14ac:dyDescent="0.45">
      <c r="A13" s="16" t="s">
        <v>675</v>
      </c>
      <c r="B13" s="16" t="s">
        <v>750</v>
      </c>
      <c r="C13" s="16" t="s">
        <v>751</v>
      </c>
      <c r="D13" s="16" t="s">
        <v>745</v>
      </c>
      <c r="E13" s="16" t="s">
        <v>752</v>
      </c>
      <c r="F13" s="16" t="s">
        <v>753</v>
      </c>
    </row>
    <row r="14" spans="1:6" x14ac:dyDescent="0.45">
      <c r="A14" s="13" t="s">
        <v>682</v>
      </c>
      <c r="B14" s="13" t="s">
        <v>754</v>
      </c>
      <c r="C14" s="13" t="s">
        <v>755</v>
      </c>
      <c r="D14" s="13" t="s">
        <v>729</v>
      </c>
      <c r="E14" s="13" t="s">
        <v>756</v>
      </c>
      <c r="F14" s="13" t="s">
        <v>730</v>
      </c>
    </row>
    <row r="15" spans="1:6" x14ac:dyDescent="0.45">
      <c r="A15" s="16" t="s">
        <v>689</v>
      </c>
      <c r="B15" s="16" t="s">
        <v>379</v>
      </c>
      <c r="C15" s="16" t="s">
        <v>757</v>
      </c>
      <c r="D15" s="16" t="s">
        <v>745</v>
      </c>
      <c r="E15" s="16" t="s">
        <v>758</v>
      </c>
      <c r="F15" s="16" t="s">
        <v>730</v>
      </c>
    </row>
    <row r="16" spans="1:6" x14ac:dyDescent="0.45">
      <c r="A16" s="13" t="s">
        <v>696</v>
      </c>
      <c r="B16" s="13" t="s">
        <v>759</v>
      </c>
      <c r="C16" s="13" t="s">
        <v>760</v>
      </c>
      <c r="D16" s="13" t="s">
        <v>732</v>
      </c>
      <c r="E16" s="13" t="s">
        <v>720</v>
      </c>
      <c r="F16" s="13" t="s">
        <v>761</v>
      </c>
    </row>
    <row r="17" spans="1:6" x14ac:dyDescent="0.45">
      <c r="A17" s="16" t="s">
        <v>703</v>
      </c>
      <c r="B17" s="16" t="s">
        <v>759</v>
      </c>
      <c r="C17" s="16" t="s">
        <v>762</v>
      </c>
      <c r="D17" s="16" t="s">
        <v>745</v>
      </c>
      <c r="E17" s="16" t="s">
        <v>763</v>
      </c>
      <c r="F17" s="16" t="s">
        <v>764</v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0"/>
  <sheetViews>
    <sheetView showGridLines="0" workbookViewId="0">
      <pane xSplit="3" ySplit="3" topLeftCell="G8" activePane="bottomRight" state="frozen"/>
      <selection pane="topRight"/>
      <selection pane="bottomLeft"/>
      <selection pane="bottomRight" activeCell="I6" sqref="I6"/>
    </sheetView>
  </sheetViews>
  <sheetFormatPr defaultRowHeight="14.25" x14ac:dyDescent="0.45"/>
  <cols>
    <col min="1" max="1" width="10" customWidth="1"/>
    <col min="2" max="2" width="22" customWidth="1"/>
    <col min="3" max="3" width="28" customWidth="1"/>
    <col min="4" max="4" width="12" customWidth="1"/>
    <col min="5" max="5" width="30" customWidth="1"/>
    <col min="6" max="6" width="22" customWidth="1"/>
    <col min="7" max="7" width="28" customWidth="1"/>
    <col min="8" max="8" width="24" customWidth="1"/>
    <col min="9" max="9" width="70" customWidth="1"/>
    <col min="10" max="10" width="20" customWidth="1"/>
    <col min="11" max="11" width="34" customWidth="1"/>
  </cols>
  <sheetData>
    <row r="1" spans="1:11" ht="17.649999999999999" x14ac:dyDescent="0.5">
      <c r="A1" s="42" t="s">
        <v>765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x14ac:dyDescent="0.45">
      <c r="A2" s="47" t="s">
        <v>766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3" spans="1:11" ht="30" customHeight="1" x14ac:dyDescent="0.45">
      <c r="A3" s="12" t="s">
        <v>223</v>
      </c>
      <c r="B3" s="12" t="s">
        <v>224</v>
      </c>
      <c r="C3" s="12" t="s">
        <v>225</v>
      </c>
      <c r="D3" s="12" t="s">
        <v>767</v>
      </c>
      <c r="E3" s="12" t="s">
        <v>227</v>
      </c>
      <c r="F3" s="12" t="s">
        <v>768</v>
      </c>
      <c r="G3" s="12" t="s">
        <v>769</v>
      </c>
      <c r="H3" s="12" t="s">
        <v>770</v>
      </c>
      <c r="I3" s="12" t="s">
        <v>231</v>
      </c>
      <c r="J3" s="12" t="s">
        <v>232</v>
      </c>
      <c r="K3" s="12" t="s">
        <v>233</v>
      </c>
    </row>
    <row r="4" spans="1:11" ht="110" customHeight="1" x14ac:dyDescent="0.45">
      <c r="A4" s="13" t="s">
        <v>771</v>
      </c>
      <c r="B4" s="13" t="s">
        <v>772</v>
      </c>
      <c r="C4" s="13" t="s">
        <v>773</v>
      </c>
      <c r="D4" s="13" t="s">
        <v>237</v>
      </c>
      <c r="E4" s="13" t="s">
        <v>774</v>
      </c>
      <c r="F4" s="13" t="s">
        <v>775</v>
      </c>
      <c r="G4" s="13" t="s">
        <v>776</v>
      </c>
      <c r="H4" s="13" t="s">
        <v>777</v>
      </c>
      <c r="I4" s="20" t="s">
        <v>778</v>
      </c>
      <c r="J4" s="13" t="s">
        <v>779</v>
      </c>
      <c r="K4" s="13" t="s">
        <v>780</v>
      </c>
    </row>
    <row r="5" spans="1:11" ht="110" customHeight="1" x14ac:dyDescent="0.45">
      <c r="A5" s="16" t="s">
        <v>781</v>
      </c>
      <c r="B5" s="16" t="s">
        <v>772</v>
      </c>
      <c r="C5" s="16" t="s">
        <v>782</v>
      </c>
      <c r="D5" s="16" t="s">
        <v>237</v>
      </c>
      <c r="E5" s="16" t="s">
        <v>783</v>
      </c>
      <c r="F5" s="16" t="s">
        <v>784</v>
      </c>
      <c r="G5" s="16" t="s">
        <v>785</v>
      </c>
      <c r="H5" s="16" t="s">
        <v>786</v>
      </c>
      <c r="I5" s="21" t="s">
        <v>787</v>
      </c>
      <c r="J5" s="16" t="s">
        <v>788</v>
      </c>
      <c r="K5" s="16" t="s">
        <v>789</v>
      </c>
    </row>
    <row r="6" spans="1:11" ht="110" customHeight="1" x14ac:dyDescent="0.45">
      <c r="A6" s="13" t="s">
        <v>790</v>
      </c>
      <c r="B6" s="13" t="s">
        <v>772</v>
      </c>
      <c r="C6" s="13" t="s">
        <v>791</v>
      </c>
      <c r="D6" s="13" t="s">
        <v>237</v>
      </c>
      <c r="E6" s="13" t="s">
        <v>792</v>
      </c>
      <c r="F6" s="13" t="s">
        <v>775</v>
      </c>
      <c r="G6" s="13" t="s">
        <v>793</v>
      </c>
      <c r="H6" s="13" t="s">
        <v>794</v>
      </c>
      <c r="I6" s="20" t="s">
        <v>795</v>
      </c>
      <c r="J6" s="13" t="s">
        <v>796</v>
      </c>
      <c r="K6" s="13" t="s">
        <v>797</v>
      </c>
    </row>
    <row r="7" spans="1:11" ht="110" customHeight="1" x14ac:dyDescent="0.45">
      <c r="A7" s="16" t="s">
        <v>798</v>
      </c>
      <c r="B7" s="16" t="s">
        <v>772</v>
      </c>
      <c r="C7" s="16" t="s">
        <v>799</v>
      </c>
      <c r="D7" s="16" t="s">
        <v>237</v>
      </c>
      <c r="E7" s="16" t="s">
        <v>800</v>
      </c>
      <c r="F7" s="16" t="s">
        <v>801</v>
      </c>
      <c r="G7" s="16" t="s">
        <v>802</v>
      </c>
      <c r="H7" s="16" t="s">
        <v>803</v>
      </c>
      <c r="I7" s="21" t="s">
        <v>804</v>
      </c>
      <c r="J7" s="16" t="s">
        <v>805</v>
      </c>
      <c r="K7" s="16" t="s">
        <v>806</v>
      </c>
    </row>
    <row r="8" spans="1:11" ht="110" customHeight="1" x14ac:dyDescent="0.45">
      <c r="A8" s="13" t="s">
        <v>807</v>
      </c>
      <c r="B8" s="13" t="s">
        <v>772</v>
      </c>
      <c r="C8" s="13" t="s">
        <v>808</v>
      </c>
      <c r="D8" s="13" t="s">
        <v>318</v>
      </c>
      <c r="E8" s="13" t="s">
        <v>809</v>
      </c>
      <c r="F8" s="13" t="s">
        <v>775</v>
      </c>
      <c r="G8" s="13" t="s">
        <v>810</v>
      </c>
      <c r="H8" s="13" t="s">
        <v>811</v>
      </c>
      <c r="I8" s="20" t="s">
        <v>812</v>
      </c>
      <c r="J8" s="13" t="s">
        <v>813</v>
      </c>
      <c r="K8" s="13" t="s">
        <v>814</v>
      </c>
    </row>
    <row r="9" spans="1:11" ht="110" customHeight="1" x14ac:dyDescent="0.45">
      <c r="A9" s="16" t="s">
        <v>815</v>
      </c>
      <c r="B9" s="16" t="s">
        <v>816</v>
      </c>
      <c r="C9" s="16" t="s">
        <v>817</v>
      </c>
      <c r="D9" s="16" t="s">
        <v>237</v>
      </c>
      <c r="E9" s="16" t="s">
        <v>818</v>
      </c>
      <c r="F9" s="16" t="s">
        <v>819</v>
      </c>
      <c r="G9" s="16" t="s">
        <v>820</v>
      </c>
      <c r="H9" s="16" t="s">
        <v>821</v>
      </c>
      <c r="I9" s="21" t="s">
        <v>822</v>
      </c>
      <c r="J9" s="16" t="s">
        <v>823</v>
      </c>
      <c r="K9" s="16" t="s">
        <v>824</v>
      </c>
    </row>
    <row r="10" spans="1:11" ht="110" customHeight="1" x14ac:dyDescent="0.45">
      <c r="A10" s="13" t="s">
        <v>825</v>
      </c>
      <c r="B10" s="13" t="s">
        <v>816</v>
      </c>
      <c r="C10" s="13" t="s">
        <v>826</v>
      </c>
      <c r="D10" s="13" t="s">
        <v>237</v>
      </c>
      <c r="E10" s="13" t="s">
        <v>827</v>
      </c>
      <c r="F10" s="13" t="s">
        <v>828</v>
      </c>
      <c r="G10" s="13" t="s">
        <v>829</v>
      </c>
      <c r="H10" s="13" t="s">
        <v>830</v>
      </c>
      <c r="I10" s="20" t="s">
        <v>831</v>
      </c>
      <c r="J10" s="13" t="s">
        <v>832</v>
      </c>
      <c r="K10" s="13" t="s">
        <v>833</v>
      </c>
    </row>
    <row r="11" spans="1:11" ht="110" customHeight="1" x14ac:dyDescent="0.45">
      <c r="A11" s="16" t="s">
        <v>834</v>
      </c>
      <c r="B11" s="16" t="s">
        <v>816</v>
      </c>
      <c r="C11" s="16" t="s">
        <v>835</v>
      </c>
      <c r="D11" s="16" t="s">
        <v>237</v>
      </c>
      <c r="E11" s="16" t="s">
        <v>836</v>
      </c>
      <c r="F11" s="16" t="s">
        <v>837</v>
      </c>
      <c r="G11" s="16" t="s">
        <v>838</v>
      </c>
      <c r="H11" s="16" t="s">
        <v>839</v>
      </c>
      <c r="I11" s="21" t="s">
        <v>840</v>
      </c>
      <c r="J11" s="16" t="s">
        <v>841</v>
      </c>
      <c r="K11" s="16" t="s">
        <v>842</v>
      </c>
    </row>
    <row r="12" spans="1:11" ht="110" customHeight="1" x14ac:dyDescent="0.45">
      <c r="A12" s="13" t="s">
        <v>843</v>
      </c>
      <c r="B12" s="13" t="s">
        <v>816</v>
      </c>
      <c r="C12" s="13" t="s">
        <v>844</v>
      </c>
      <c r="D12" s="13" t="s">
        <v>318</v>
      </c>
      <c r="E12" s="13" t="s">
        <v>845</v>
      </c>
      <c r="F12" s="13" t="s">
        <v>846</v>
      </c>
      <c r="G12" s="13" t="s">
        <v>847</v>
      </c>
      <c r="H12" s="13" t="s">
        <v>848</v>
      </c>
      <c r="I12" s="20" t="s">
        <v>849</v>
      </c>
      <c r="J12" s="13" t="s">
        <v>850</v>
      </c>
      <c r="K12" s="13" t="s">
        <v>851</v>
      </c>
    </row>
    <row r="13" spans="1:11" ht="110" customHeight="1" x14ac:dyDescent="0.45">
      <c r="A13" s="16" t="s">
        <v>852</v>
      </c>
      <c r="B13" s="16" t="s">
        <v>853</v>
      </c>
      <c r="C13" s="16" t="s">
        <v>854</v>
      </c>
      <c r="D13" s="16" t="s">
        <v>318</v>
      </c>
      <c r="E13" s="16" t="s">
        <v>855</v>
      </c>
      <c r="F13" s="16" t="s">
        <v>856</v>
      </c>
      <c r="G13" s="16" t="s">
        <v>857</v>
      </c>
      <c r="H13" s="16" t="s">
        <v>858</v>
      </c>
      <c r="I13" s="21" t="s">
        <v>859</v>
      </c>
      <c r="J13" s="16" t="s">
        <v>860</v>
      </c>
      <c r="K13" s="16" t="s">
        <v>861</v>
      </c>
    </row>
    <row r="14" spans="1:11" ht="110" customHeight="1" x14ac:dyDescent="0.45">
      <c r="A14" s="13" t="s">
        <v>862</v>
      </c>
      <c r="B14" s="13" t="s">
        <v>853</v>
      </c>
      <c r="C14" s="13" t="s">
        <v>863</v>
      </c>
      <c r="D14" s="13" t="s">
        <v>309</v>
      </c>
      <c r="E14" s="13" t="s">
        <v>864</v>
      </c>
      <c r="F14" s="13" t="s">
        <v>865</v>
      </c>
      <c r="G14" s="13" t="s">
        <v>866</v>
      </c>
      <c r="H14" s="13" t="s">
        <v>867</v>
      </c>
      <c r="I14" s="20" t="s">
        <v>868</v>
      </c>
      <c r="J14" s="13" t="s">
        <v>869</v>
      </c>
      <c r="K14" s="13" t="s">
        <v>870</v>
      </c>
    </row>
    <row r="15" spans="1:11" ht="110" customHeight="1" x14ac:dyDescent="0.45">
      <c r="A15" s="16" t="s">
        <v>871</v>
      </c>
      <c r="B15" s="16" t="s">
        <v>853</v>
      </c>
      <c r="C15" s="16" t="s">
        <v>872</v>
      </c>
      <c r="D15" s="16" t="s">
        <v>318</v>
      </c>
      <c r="E15" s="16" t="s">
        <v>873</v>
      </c>
      <c r="F15" s="16" t="s">
        <v>874</v>
      </c>
      <c r="G15" s="16" t="s">
        <v>875</v>
      </c>
      <c r="H15" s="16" t="s">
        <v>876</v>
      </c>
      <c r="I15" s="21" t="s">
        <v>877</v>
      </c>
      <c r="J15" s="16" t="s">
        <v>878</v>
      </c>
      <c r="K15" s="16" t="s">
        <v>758</v>
      </c>
    </row>
    <row r="16" spans="1:11" ht="110" customHeight="1" x14ac:dyDescent="0.45">
      <c r="A16" s="13" t="s">
        <v>879</v>
      </c>
      <c r="B16" s="13" t="s">
        <v>853</v>
      </c>
      <c r="C16" s="13" t="s">
        <v>880</v>
      </c>
      <c r="D16" s="13" t="s">
        <v>237</v>
      </c>
      <c r="E16" s="13" t="s">
        <v>881</v>
      </c>
      <c r="F16" s="13" t="s">
        <v>882</v>
      </c>
      <c r="G16" s="13" t="s">
        <v>883</v>
      </c>
      <c r="H16" s="13" t="s">
        <v>884</v>
      </c>
      <c r="I16" s="20" t="s">
        <v>885</v>
      </c>
      <c r="J16" s="13" t="s">
        <v>886</v>
      </c>
      <c r="K16" s="13" t="s">
        <v>887</v>
      </c>
    </row>
    <row r="17" spans="1:11" ht="110" customHeight="1" x14ac:dyDescent="0.45">
      <c r="A17" s="16" t="s">
        <v>888</v>
      </c>
      <c r="B17" s="16" t="s">
        <v>889</v>
      </c>
      <c r="C17" s="16" t="s">
        <v>890</v>
      </c>
      <c r="D17" s="16" t="s">
        <v>318</v>
      </c>
      <c r="E17" s="16" t="s">
        <v>891</v>
      </c>
      <c r="F17" s="16" t="s">
        <v>892</v>
      </c>
      <c r="G17" s="16" t="s">
        <v>893</v>
      </c>
      <c r="H17" s="16" t="s">
        <v>894</v>
      </c>
      <c r="I17" s="21" t="s">
        <v>895</v>
      </c>
      <c r="J17" s="16" t="s">
        <v>896</v>
      </c>
      <c r="K17" s="16" t="s">
        <v>897</v>
      </c>
    </row>
    <row r="18" spans="1:11" ht="110" customHeight="1" x14ac:dyDescent="0.45">
      <c r="A18" s="13" t="s">
        <v>898</v>
      </c>
      <c r="B18" s="13" t="s">
        <v>889</v>
      </c>
      <c r="C18" s="13" t="s">
        <v>899</v>
      </c>
      <c r="D18" s="13" t="s">
        <v>318</v>
      </c>
      <c r="E18" s="13" t="s">
        <v>900</v>
      </c>
      <c r="F18" s="13" t="s">
        <v>901</v>
      </c>
      <c r="G18" s="13" t="s">
        <v>902</v>
      </c>
      <c r="H18" s="13" t="s">
        <v>811</v>
      </c>
      <c r="I18" s="20" t="s">
        <v>903</v>
      </c>
      <c r="J18" s="13" t="s">
        <v>904</v>
      </c>
      <c r="K18" s="13" t="s">
        <v>905</v>
      </c>
    </row>
    <row r="19" spans="1:11" ht="110" customHeight="1" x14ac:dyDescent="0.45">
      <c r="A19" s="16" t="s">
        <v>906</v>
      </c>
      <c r="B19" s="16" t="s">
        <v>907</v>
      </c>
      <c r="C19" s="16" t="s">
        <v>908</v>
      </c>
      <c r="D19" s="16" t="s">
        <v>318</v>
      </c>
      <c r="E19" s="16" t="s">
        <v>909</v>
      </c>
      <c r="F19" s="16" t="s">
        <v>910</v>
      </c>
      <c r="G19" s="16" t="s">
        <v>911</v>
      </c>
      <c r="H19" s="16" t="s">
        <v>912</v>
      </c>
      <c r="I19" s="21" t="s">
        <v>913</v>
      </c>
      <c r="J19" s="16" t="s">
        <v>841</v>
      </c>
      <c r="K19" s="16" t="s">
        <v>914</v>
      </c>
    </row>
    <row r="20" spans="1:11" ht="110" customHeight="1" x14ac:dyDescent="0.45">
      <c r="A20" s="13" t="s">
        <v>915</v>
      </c>
      <c r="B20" s="13" t="s">
        <v>907</v>
      </c>
      <c r="C20" s="13" t="s">
        <v>916</v>
      </c>
      <c r="D20" s="13" t="s">
        <v>237</v>
      </c>
      <c r="E20" s="13" t="s">
        <v>917</v>
      </c>
      <c r="F20" s="13" t="s">
        <v>918</v>
      </c>
      <c r="G20" s="13" t="s">
        <v>919</v>
      </c>
      <c r="H20" s="13" t="s">
        <v>920</v>
      </c>
      <c r="I20" s="20" t="s">
        <v>921</v>
      </c>
      <c r="J20" s="13" t="s">
        <v>922</v>
      </c>
      <c r="K20" s="13" t="s">
        <v>923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8"/>
  <sheetViews>
    <sheetView showGridLines="0" workbookViewId="0">
      <pane xSplit="3" ySplit="3" topLeftCell="D16" activePane="bottomRight" state="frozen"/>
      <selection pane="topRight"/>
      <selection pane="bottomLeft"/>
      <selection pane="bottomRight" activeCell="C18" sqref="C18"/>
    </sheetView>
  </sheetViews>
  <sheetFormatPr defaultRowHeight="14.25" x14ac:dyDescent="0.45"/>
  <cols>
    <col min="1" max="1" width="12" customWidth="1"/>
    <col min="2" max="2" width="20" customWidth="1"/>
    <col min="3" max="3" width="60" customWidth="1"/>
    <col min="4" max="4" width="50" customWidth="1"/>
    <col min="5" max="5" width="34" customWidth="1"/>
    <col min="6" max="6" width="20" customWidth="1"/>
    <col min="7" max="7" width="30" customWidth="1"/>
    <col min="8" max="8" width="32" customWidth="1"/>
  </cols>
  <sheetData>
    <row r="1" spans="1:8" ht="17.649999999999999" x14ac:dyDescent="0.5">
      <c r="A1" s="42" t="s">
        <v>924</v>
      </c>
      <c r="B1" s="37"/>
      <c r="C1" s="37"/>
      <c r="D1" s="37"/>
      <c r="E1" s="37"/>
      <c r="F1" s="37"/>
      <c r="G1" s="37"/>
      <c r="H1" s="37"/>
    </row>
    <row r="3" spans="1:8" ht="30" customHeight="1" x14ac:dyDescent="0.45">
      <c r="A3" s="12" t="s">
        <v>605</v>
      </c>
      <c r="B3" s="12" t="s">
        <v>925</v>
      </c>
      <c r="C3" s="12" t="s">
        <v>926</v>
      </c>
      <c r="D3" s="12" t="s">
        <v>927</v>
      </c>
      <c r="E3" s="12" t="s">
        <v>928</v>
      </c>
      <c r="F3" s="12" t="s">
        <v>929</v>
      </c>
      <c r="G3" s="12" t="s">
        <v>609</v>
      </c>
      <c r="H3" s="12" t="s">
        <v>930</v>
      </c>
    </row>
    <row r="4" spans="1:8" ht="100.05" customHeight="1" x14ac:dyDescent="0.45">
      <c r="A4" s="13" t="s">
        <v>931</v>
      </c>
      <c r="B4" s="13" t="s">
        <v>932</v>
      </c>
      <c r="C4" s="20" t="s">
        <v>933</v>
      </c>
      <c r="D4" s="20" t="s">
        <v>934</v>
      </c>
      <c r="E4" s="13" t="s">
        <v>935</v>
      </c>
      <c r="F4" s="13" t="s">
        <v>936</v>
      </c>
      <c r="G4" s="13" t="s">
        <v>937</v>
      </c>
      <c r="H4" s="13" t="s">
        <v>938</v>
      </c>
    </row>
    <row r="5" spans="1:8" ht="100.05" customHeight="1" x14ac:dyDescent="0.45">
      <c r="A5" s="16" t="s">
        <v>939</v>
      </c>
      <c r="B5" s="16" t="s">
        <v>932</v>
      </c>
      <c r="C5" s="21" t="s">
        <v>940</v>
      </c>
      <c r="D5" s="21" t="s">
        <v>941</v>
      </c>
      <c r="E5" s="16" t="s">
        <v>942</v>
      </c>
      <c r="F5" s="16" t="s">
        <v>943</v>
      </c>
      <c r="G5" s="16" t="s">
        <v>944</v>
      </c>
      <c r="H5" s="16" t="s">
        <v>945</v>
      </c>
    </row>
    <row r="6" spans="1:8" ht="100.05" customHeight="1" x14ac:dyDescent="0.45">
      <c r="A6" s="13" t="s">
        <v>796</v>
      </c>
      <c r="B6" s="13" t="s">
        <v>932</v>
      </c>
      <c r="C6" s="20" t="s">
        <v>946</v>
      </c>
      <c r="D6" s="20" t="s">
        <v>947</v>
      </c>
      <c r="E6" s="13" t="s">
        <v>948</v>
      </c>
      <c r="F6" s="13" t="s">
        <v>790</v>
      </c>
      <c r="G6" s="13" t="s">
        <v>949</v>
      </c>
      <c r="H6" s="13" t="s">
        <v>950</v>
      </c>
    </row>
    <row r="7" spans="1:8" ht="100.05" customHeight="1" x14ac:dyDescent="0.45">
      <c r="A7" s="16" t="s">
        <v>805</v>
      </c>
      <c r="B7" s="16" t="s">
        <v>932</v>
      </c>
      <c r="C7" s="21" t="s">
        <v>951</v>
      </c>
      <c r="D7" s="21" t="s">
        <v>952</v>
      </c>
      <c r="E7" s="16" t="s">
        <v>953</v>
      </c>
      <c r="F7" s="16" t="s">
        <v>798</v>
      </c>
      <c r="G7" s="16" t="s">
        <v>954</v>
      </c>
      <c r="H7" s="16" t="s">
        <v>806</v>
      </c>
    </row>
    <row r="8" spans="1:8" ht="100.05" customHeight="1" x14ac:dyDescent="0.45">
      <c r="A8" s="13" t="s">
        <v>955</v>
      </c>
      <c r="B8" s="13" t="s">
        <v>932</v>
      </c>
      <c r="C8" s="20" t="s">
        <v>956</v>
      </c>
      <c r="D8" s="20" t="s">
        <v>957</v>
      </c>
      <c r="E8" s="13" t="s">
        <v>958</v>
      </c>
      <c r="F8" s="13" t="s">
        <v>959</v>
      </c>
      <c r="G8" s="13" t="s">
        <v>960</v>
      </c>
      <c r="H8" s="13" t="s">
        <v>961</v>
      </c>
    </row>
    <row r="9" spans="1:8" ht="100.05" customHeight="1" x14ac:dyDescent="0.45">
      <c r="A9" s="16" t="s">
        <v>823</v>
      </c>
      <c r="B9" s="16" t="s">
        <v>962</v>
      </c>
      <c r="C9" s="21" t="s">
        <v>963</v>
      </c>
      <c r="D9" s="21" t="s">
        <v>964</v>
      </c>
      <c r="E9" s="16" t="s">
        <v>965</v>
      </c>
      <c r="F9" s="16" t="s">
        <v>815</v>
      </c>
      <c r="G9" s="16" t="s">
        <v>966</v>
      </c>
      <c r="H9" s="16" t="s">
        <v>824</v>
      </c>
    </row>
    <row r="10" spans="1:8" ht="100.05" customHeight="1" x14ac:dyDescent="0.45">
      <c r="A10" s="13" t="s">
        <v>832</v>
      </c>
      <c r="B10" s="13" t="s">
        <v>962</v>
      </c>
      <c r="C10" s="20" t="s">
        <v>967</v>
      </c>
      <c r="D10" s="20" t="s">
        <v>968</v>
      </c>
      <c r="E10" s="13" t="s">
        <v>969</v>
      </c>
      <c r="F10" s="13" t="s">
        <v>825</v>
      </c>
      <c r="G10" s="13" t="s">
        <v>970</v>
      </c>
      <c r="H10" s="13" t="s">
        <v>971</v>
      </c>
    </row>
    <row r="11" spans="1:8" ht="100.05" customHeight="1" x14ac:dyDescent="0.45">
      <c r="A11" s="16" t="s">
        <v>850</v>
      </c>
      <c r="B11" s="16" t="s">
        <v>962</v>
      </c>
      <c r="C11" s="21" t="s">
        <v>972</v>
      </c>
      <c r="D11" s="21" t="s">
        <v>973</v>
      </c>
      <c r="E11" s="16" t="s">
        <v>974</v>
      </c>
      <c r="F11" s="16" t="s">
        <v>843</v>
      </c>
      <c r="G11" s="16" t="s">
        <v>975</v>
      </c>
      <c r="H11" s="16" t="s">
        <v>851</v>
      </c>
    </row>
    <row r="12" spans="1:8" ht="100.05" customHeight="1" x14ac:dyDescent="0.45">
      <c r="A12" s="13" t="s">
        <v>976</v>
      </c>
      <c r="B12" s="13" t="s">
        <v>962</v>
      </c>
      <c r="C12" s="20" t="s">
        <v>977</v>
      </c>
      <c r="D12" s="20" t="s">
        <v>978</v>
      </c>
      <c r="E12" s="13" t="s">
        <v>979</v>
      </c>
      <c r="F12" s="13" t="s">
        <v>980</v>
      </c>
      <c r="G12" s="13" t="s">
        <v>981</v>
      </c>
      <c r="H12" s="13" t="s">
        <v>982</v>
      </c>
    </row>
    <row r="13" spans="1:8" ht="100.05" customHeight="1" x14ac:dyDescent="0.45">
      <c r="A13" s="16" t="s">
        <v>860</v>
      </c>
      <c r="B13" s="16" t="s">
        <v>983</v>
      </c>
      <c r="C13" s="21" t="s">
        <v>984</v>
      </c>
      <c r="D13" s="21" t="s">
        <v>985</v>
      </c>
      <c r="E13" s="16" t="s">
        <v>986</v>
      </c>
      <c r="F13" s="16" t="s">
        <v>852</v>
      </c>
      <c r="G13" s="16" t="s">
        <v>987</v>
      </c>
      <c r="H13" s="16" t="s">
        <v>988</v>
      </c>
    </row>
    <row r="14" spans="1:8" ht="100.05" customHeight="1" x14ac:dyDescent="0.45">
      <c r="A14" s="13" t="s">
        <v>869</v>
      </c>
      <c r="B14" s="13" t="s">
        <v>983</v>
      </c>
      <c r="C14" s="20" t="s">
        <v>989</v>
      </c>
      <c r="D14" s="20" t="s">
        <v>990</v>
      </c>
      <c r="E14" s="13" t="s">
        <v>991</v>
      </c>
      <c r="F14" s="13" t="s">
        <v>862</v>
      </c>
      <c r="G14" s="13" t="s">
        <v>992</v>
      </c>
      <c r="H14" s="13" t="s">
        <v>993</v>
      </c>
    </row>
    <row r="15" spans="1:8" ht="100.05" customHeight="1" x14ac:dyDescent="0.45">
      <c r="A15" s="16" t="s">
        <v>878</v>
      </c>
      <c r="B15" s="16" t="s">
        <v>983</v>
      </c>
      <c r="C15" s="21" t="s">
        <v>994</v>
      </c>
      <c r="D15" s="21" t="s">
        <v>995</v>
      </c>
      <c r="E15" s="16" t="s">
        <v>996</v>
      </c>
      <c r="F15" s="16" t="s">
        <v>871</v>
      </c>
      <c r="G15" s="16" t="s">
        <v>997</v>
      </c>
      <c r="H15" s="16" t="s">
        <v>758</v>
      </c>
    </row>
    <row r="16" spans="1:8" ht="100.05" customHeight="1" x14ac:dyDescent="0.45">
      <c r="A16" s="13" t="s">
        <v>896</v>
      </c>
      <c r="B16" s="13" t="s">
        <v>998</v>
      </c>
      <c r="C16" s="20" t="s">
        <v>999</v>
      </c>
      <c r="D16" s="20" t="s">
        <v>1000</v>
      </c>
      <c r="E16" s="13" t="s">
        <v>1001</v>
      </c>
      <c r="F16" s="13" t="s">
        <v>1002</v>
      </c>
      <c r="G16" s="13" t="s">
        <v>1003</v>
      </c>
      <c r="H16" s="13" t="s">
        <v>1004</v>
      </c>
    </row>
    <row r="17" spans="1:8" ht="100.05" customHeight="1" x14ac:dyDescent="0.45">
      <c r="A17" s="16" t="s">
        <v>904</v>
      </c>
      <c r="B17" s="16" t="s">
        <v>998</v>
      </c>
      <c r="C17" s="21" t="s">
        <v>1005</v>
      </c>
      <c r="D17" s="21" t="s">
        <v>1006</v>
      </c>
      <c r="E17" s="16" t="s">
        <v>1007</v>
      </c>
      <c r="F17" s="16" t="s">
        <v>898</v>
      </c>
      <c r="G17" s="16" t="s">
        <v>1008</v>
      </c>
      <c r="H17" s="16" t="s">
        <v>1009</v>
      </c>
    </row>
    <row r="18" spans="1:8" ht="100.05" customHeight="1" x14ac:dyDescent="0.45">
      <c r="A18" s="13" t="s">
        <v>922</v>
      </c>
      <c r="B18" s="13" t="s">
        <v>1010</v>
      </c>
      <c r="C18" s="20" t="s">
        <v>1011</v>
      </c>
      <c r="D18" s="20" t="s">
        <v>1012</v>
      </c>
      <c r="E18" s="13" t="s">
        <v>1013</v>
      </c>
      <c r="F18" s="13" t="s">
        <v>915</v>
      </c>
      <c r="G18" s="13" t="s">
        <v>1014</v>
      </c>
      <c r="H18" s="13" t="s">
        <v>923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0"/>
  <sheetViews>
    <sheetView showGridLines="0" workbookViewId="0">
      <selection activeCell="C4" sqref="C4"/>
    </sheetView>
  </sheetViews>
  <sheetFormatPr defaultRowHeight="14.25" x14ac:dyDescent="0.45"/>
  <cols>
    <col min="1" max="1" width="12" customWidth="1"/>
    <col min="2" max="3" width="14" customWidth="1"/>
    <col min="4" max="5" width="18" customWidth="1"/>
    <col min="6" max="7" width="14" customWidth="1"/>
    <col min="8" max="8" width="42" customWidth="1"/>
  </cols>
  <sheetData>
    <row r="1" spans="1:8" ht="17.649999999999999" x14ac:dyDescent="0.5">
      <c r="A1" s="42" t="s">
        <v>1015</v>
      </c>
      <c r="B1" s="37"/>
      <c r="C1" s="37"/>
      <c r="D1" s="37"/>
      <c r="E1" s="37"/>
      <c r="F1" s="37"/>
      <c r="G1" s="37"/>
      <c r="H1" s="37"/>
    </row>
    <row r="3" spans="1:8" ht="30" customHeight="1" x14ac:dyDescent="0.45">
      <c r="A3" s="12" t="s">
        <v>1016</v>
      </c>
      <c r="B3" s="12" t="s">
        <v>1017</v>
      </c>
      <c r="C3" s="12" t="s">
        <v>1018</v>
      </c>
      <c r="D3" s="12" t="s">
        <v>1019</v>
      </c>
      <c r="E3" s="12" t="s">
        <v>1020</v>
      </c>
      <c r="F3" s="12" t="s">
        <v>1021</v>
      </c>
      <c r="G3" s="12" t="s">
        <v>226</v>
      </c>
      <c r="H3" s="12" t="s">
        <v>1022</v>
      </c>
    </row>
    <row r="4" spans="1:8" x14ac:dyDescent="0.45">
      <c r="A4" s="13" t="s">
        <v>771</v>
      </c>
      <c r="B4" s="13">
        <v>29</v>
      </c>
      <c r="C4" s="13">
        <v>32</v>
      </c>
      <c r="D4" s="13" t="s">
        <v>92</v>
      </c>
      <c r="E4" s="13" t="s">
        <v>92</v>
      </c>
      <c r="F4" s="13">
        <v>70</v>
      </c>
      <c r="G4" s="13" t="s">
        <v>237</v>
      </c>
      <c r="H4" s="13" t="s">
        <v>1023</v>
      </c>
    </row>
    <row r="5" spans="1:8" x14ac:dyDescent="0.45">
      <c r="A5" s="16" t="s">
        <v>781</v>
      </c>
      <c r="B5" s="16">
        <v>29</v>
      </c>
      <c r="C5" s="16">
        <v>28</v>
      </c>
      <c r="D5" s="16">
        <v>3</v>
      </c>
      <c r="E5" s="16" t="s">
        <v>92</v>
      </c>
      <c r="F5" s="16">
        <v>70</v>
      </c>
      <c r="G5" s="16" t="s">
        <v>237</v>
      </c>
      <c r="H5" s="16" t="s">
        <v>1024</v>
      </c>
    </row>
    <row r="6" spans="1:8" x14ac:dyDescent="0.45">
      <c r="A6" s="13" t="s">
        <v>790</v>
      </c>
      <c r="B6" s="13">
        <v>28</v>
      </c>
      <c r="C6" s="13">
        <v>30</v>
      </c>
      <c r="D6" s="13">
        <v>3</v>
      </c>
      <c r="E6" s="13" t="s">
        <v>92</v>
      </c>
      <c r="F6" s="13">
        <v>70</v>
      </c>
      <c r="G6" s="13" t="s">
        <v>237</v>
      </c>
      <c r="H6" s="13" t="s">
        <v>1025</v>
      </c>
    </row>
    <row r="7" spans="1:8" x14ac:dyDescent="0.45">
      <c r="A7" s="16" t="s">
        <v>798</v>
      </c>
      <c r="B7" s="16">
        <v>29</v>
      </c>
      <c r="C7" s="16">
        <v>33</v>
      </c>
      <c r="D7" s="16">
        <v>3</v>
      </c>
      <c r="E7" s="16" t="s">
        <v>92</v>
      </c>
      <c r="F7" s="16">
        <v>70</v>
      </c>
      <c r="G7" s="16" t="s">
        <v>237</v>
      </c>
      <c r="H7" s="16" t="s">
        <v>1026</v>
      </c>
    </row>
    <row r="8" spans="1:8" x14ac:dyDescent="0.45">
      <c r="A8" s="13" t="s">
        <v>807</v>
      </c>
      <c r="B8" s="13">
        <v>29</v>
      </c>
      <c r="C8" s="13" t="s">
        <v>92</v>
      </c>
      <c r="D8" s="13" t="s">
        <v>92</v>
      </c>
      <c r="E8" s="13" t="s">
        <v>92</v>
      </c>
      <c r="F8" s="13">
        <v>70</v>
      </c>
      <c r="G8" s="13" t="s">
        <v>318</v>
      </c>
      <c r="H8" s="13" t="s">
        <v>1027</v>
      </c>
    </row>
    <row r="9" spans="1:8" x14ac:dyDescent="0.45">
      <c r="A9" s="16" t="s">
        <v>815</v>
      </c>
      <c r="B9" s="16">
        <v>29</v>
      </c>
      <c r="C9" s="16" t="s">
        <v>92</v>
      </c>
      <c r="D9" s="16" t="s">
        <v>92</v>
      </c>
      <c r="E9" s="16" t="s">
        <v>92</v>
      </c>
      <c r="F9" s="16">
        <v>70</v>
      </c>
      <c r="G9" s="16" t="s">
        <v>237</v>
      </c>
      <c r="H9" s="16" t="s">
        <v>1028</v>
      </c>
    </row>
    <row r="10" spans="1:8" x14ac:dyDescent="0.45">
      <c r="A10" s="13" t="s">
        <v>825</v>
      </c>
      <c r="B10" s="13">
        <v>30</v>
      </c>
      <c r="C10" s="13">
        <v>34</v>
      </c>
      <c r="D10" s="13" t="s">
        <v>92</v>
      </c>
      <c r="E10" s="13" t="s">
        <v>92</v>
      </c>
      <c r="F10" s="13">
        <v>70</v>
      </c>
      <c r="G10" s="13" t="s">
        <v>237</v>
      </c>
      <c r="H10" s="13" t="s">
        <v>1029</v>
      </c>
    </row>
    <row r="11" spans="1:8" x14ac:dyDescent="0.45">
      <c r="A11" s="16" t="s">
        <v>834</v>
      </c>
      <c r="B11" s="16">
        <v>29</v>
      </c>
      <c r="C11" s="16">
        <v>0</v>
      </c>
      <c r="D11" s="16" t="s">
        <v>92</v>
      </c>
      <c r="E11" s="16" t="s">
        <v>92</v>
      </c>
      <c r="F11" s="16">
        <v>70</v>
      </c>
      <c r="G11" s="16" t="s">
        <v>274</v>
      </c>
      <c r="H11" s="16" t="s">
        <v>1030</v>
      </c>
    </row>
    <row r="12" spans="1:8" x14ac:dyDescent="0.45">
      <c r="A12" s="13" t="s">
        <v>843</v>
      </c>
      <c r="B12" s="13">
        <v>20</v>
      </c>
      <c r="C12" s="13">
        <v>22</v>
      </c>
      <c r="D12" s="13" t="s">
        <v>92</v>
      </c>
      <c r="E12" s="13" t="s">
        <v>92</v>
      </c>
      <c r="F12" s="13">
        <v>70</v>
      </c>
      <c r="G12" s="13" t="s">
        <v>309</v>
      </c>
      <c r="H12" s="13" t="s">
        <v>1031</v>
      </c>
    </row>
    <row r="13" spans="1:8" x14ac:dyDescent="0.45">
      <c r="A13" s="16" t="s">
        <v>852</v>
      </c>
      <c r="B13" s="16">
        <v>29</v>
      </c>
      <c r="C13" s="16">
        <v>22</v>
      </c>
      <c r="D13" s="16" t="s">
        <v>92</v>
      </c>
      <c r="E13" s="16">
        <v>1.5</v>
      </c>
      <c r="F13" s="16">
        <v>70</v>
      </c>
      <c r="G13" s="16" t="s">
        <v>237</v>
      </c>
      <c r="H13" s="16" t="s">
        <v>1032</v>
      </c>
    </row>
    <row r="14" spans="1:8" x14ac:dyDescent="0.45">
      <c r="A14" s="13" t="s">
        <v>862</v>
      </c>
      <c r="B14" s="13">
        <v>15</v>
      </c>
      <c r="C14" s="13">
        <v>15</v>
      </c>
      <c r="D14" s="13" t="s">
        <v>92</v>
      </c>
      <c r="E14" s="13">
        <v>1</v>
      </c>
      <c r="F14" s="13">
        <v>55</v>
      </c>
      <c r="G14" s="13" t="s">
        <v>309</v>
      </c>
      <c r="H14" s="13" t="s">
        <v>1033</v>
      </c>
    </row>
    <row r="15" spans="1:8" x14ac:dyDescent="0.45">
      <c r="A15" s="16" t="s">
        <v>871</v>
      </c>
      <c r="B15" s="16">
        <v>29</v>
      </c>
      <c r="C15" s="16" t="s">
        <v>92</v>
      </c>
      <c r="D15" s="16" t="s">
        <v>92</v>
      </c>
      <c r="E15" s="16" t="s">
        <v>92</v>
      </c>
      <c r="F15" s="16">
        <v>70</v>
      </c>
      <c r="G15" s="16" t="s">
        <v>318</v>
      </c>
      <c r="H15" s="16" t="s">
        <v>1034</v>
      </c>
    </row>
    <row r="16" spans="1:8" x14ac:dyDescent="0.45">
      <c r="A16" s="13" t="s">
        <v>879</v>
      </c>
      <c r="B16" s="13">
        <v>29</v>
      </c>
      <c r="C16" s="13" t="s">
        <v>92</v>
      </c>
      <c r="D16" s="13">
        <v>3</v>
      </c>
      <c r="E16" s="13" t="s">
        <v>92</v>
      </c>
      <c r="F16" s="13">
        <v>70</v>
      </c>
      <c r="G16" s="13" t="s">
        <v>237</v>
      </c>
      <c r="H16" s="13" t="s">
        <v>1035</v>
      </c>
    </row>
    <row r="17" spans="1:8" x14ac:dyDescent="0.45">
      <c r="A17" s="16" t="s">
        <v>888</v>
      </c>
      <c r="B17" s="16">
        <v>29</v>
      </c>
      <c r="C17" s="16" t="s">
        <v>92</v>
      </c>
      <c r="D17" s="16" t="s">
        <v>92</v>
      </c>
      <c r="E17" s="16" t="s">
        <v>92</v>
      </c>
      <c r="F17" s="16">
        <v>70</v>
      </c>
      <c r="G17" s="16" t="s">
        <v>318</v>
      </c>
      <c r="H17" s="16" t="s">
        <v>1036</v>
      </c>
    </row>
    <row r="18" spans="1:8" x14ac:dyDescent="0.45">
      <c r="A18" s="13" t="s">
        <v>898</v>
      </c>
      <c r="B18" s="13">
        <v>29</v>
      </c>
      <c r="C18" s="13" t="s">
        <v>92</v>
      </c>
      <c r="D18" s="13" t="s">
        <v>92</v>
      </c>
      <c r="E18" s="13" t="s">
        <v>92</v>
      </c>
      <c r="F18" s="13">
        <v>70</v>
      </c>
      <c r="G18" s="13" t="s">
        <v>318</v>
      </c>
      <c r="H18" s="13" t="s">
        <v>1037</v>
      </c>
    </row>
    <row r="19" spans="1:8" x14ac:dyDescent="0.45">
      <c r="A19" s="16" t="s">
        <v>906</v>
      </c>
      <c r="B19" s="16">
        <v>30</v>
      </c>
      <c r="C19" s="16">
        <v>20</v>
      </c>
      <c r="D19" s="16" t="s">
        <v>92</v>
      </c>
      <c r="E19" s="16" t="s">
        <v>92</v>
      </c>
      <c r="F19" s="16">
        <v>70</v>
      </c>
      <c r="G19" s="16" t="s">
        <v>274</v>
      </c>
      <c r="H19" s="16" t="s">
        <v>1038</v>
      </c>
    </row>
    <row r="20" spans="1:8" x14ac:dyDescent="0.45">
      <c r="A20" s="13" t="s">
        <v>915</v>
      </c>
      <c r="B20" s="13">
        <v>29</v>
      </c>
      <c r="C20" s="13">
        <v>29</v>
      </c>
      <c r="D20" s="13" t="s">
        <v>92</v>
      </c>
      <c r="E20" s="13" t="s">
        <v>92</v>
      </c>
      <c r="F20" s="13">
        <v>70</v>
      </c>
      <c r="G20" s="13" t="s">
        <v>237</v>
      </c>
      <c r="H20" s="13" t="s">
        <v>1039</v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6"/>
  <sheetViews>
    <sheetView showGridLines="0" workbookViewId="0">
      <selection activeCell="D14" sqref="D14"/>
    </sheetView>
  </sheetViews>
  <sheetFormatPr defaultRowHeight="14.25" x14ac:dyDescent="0.45"/>
  <cols>
    <col min="1" max="1" width="28" customWidth="1"/>
    <col min="2" max="2" width="32" customWidth="1"/>
    <col min="3" max="3" width="28" customWidth="1"/>
    <col min="4" max="4" width="60" customWidth="1"/>
  </cols>
  <sheetData>
    <row r="1" spans="1:4" ht="17.649999999999999" x14ac:dyDescent="0.5">
      <c r="A1" s="42" t="s">
        <v>1040</v>
      </c>
      <c r="B1" s="37"/>
      <c r="C1" s="37"/>
      <c r="D1" s="37"/>
    </row>
    <row r="3" spans="1:4" ht="30" customHeight="1" x14ac:dyDescent="0.45">
      <c r="A3" s="12" t="s">
        <v>1041</v>
      </c>
      <c r="B3" s="12" t="s">
        <v>550</v>
      </c>
      <c r="C3" s="12" t="s">
        <v>1042</v>
      </c>
      <c r="D3" s="12" t="s">
        <v>500</v>
      </c>
    </row>
    <row r="4" spans="1:4" ht="30" customHeight="1" x14ac:dyDescent="0.45">
      <c r="A4" s="13" t="s">
        <v>552</v>
      </c>
      <c r="B4" s="13" t="s">
        <v>1043</v>
      </c>
      <c r="C4" s="13" t="s">
        <v>1044</v>
      </c>
      <c r="D4" s="13" t="s">
        <v>1045</v>
      </c>
    </row>
    <row r="5" spans="1:4" ht="30" customHeight="1" x14ac:dyDescent="0.45">
      <c r="A5" s="16" t="s">
        <v>561</v>
      </c>
      <c r="B5" s="16" t="s">
        <v>1046</v>
      </c>
      <c r="C5" s="16" t="s">
        <v>1047</v>
      </c>
      <c r="D5" s="16" t="s">
        <v>1048</v>
      </c>
    </row>
    <row r="6" spans="1:4" ht="30" customHeight="1" x14ac:dyDescent="0.45">
      <c r="A6" s="13" t="s">
        <v>1049</v>
      </c>
      <c r="B6" s="13" t="s">
        <v>1050</v>
      </c>
      <c r="C6" s="13" t="s">
        <v>1051</v>
      </c>
      <c r="D6" s="13" t="s">
        <v>1052</v>
      </c>
    </row>
    <row r="7" spans="1:4" ht="30" customHeight="1" x14ac:dyDescent="0.45">
      <c r="A7" s="16" t="s">
        <v>1053</v>
      </c>
      <c r="B7" s="16" t="s">
        <v>1054</v>
      </c>
      <c r="C7" s="16" t="s">
        <v>1055</v>
      </c>
      <c r="D7" s="16" t="s">
        <v>1056</v>
      </c>
    </row>
    <row r="8" spans="1:4" ht="30" customHeight="1" x14ac:dyDescent="0.45">
      <c r="A8" s="13" t="s">
        <v>1057</v>
      </c>
      <c r="B8" s="13" t="s">
        <v>1058</v>
      </c>
      <c r="C8" s="13" t="s">
        <v>843</v>
      </c>
      <c r="D8" s="13" t="s">
        <v>1059</v>
      </c>
    </row>
    <row r="9" spans="1:4" ht="30" customHeight="1" x14ac:dyDescent="0.45">
      <c r="A9" s="16" t="s">
        <v>1060</v>
      </c>
      <c r="B9" s="16" t="s">
        <v>1061</v>
      </c>
      <c r="C9" s="16" t="s">
        <v>1062</v>
      </c>
      <c r="D9" s="16" t="s">
        <v>1063</v>
      </c>
    </row>
    <row r="10" spans="1:4" ht="30" customHeight="1" x14ac:dyDescent="0.45">
      <c r="A10" s="13" t="s">
        <v>1064</v>
      </c>
      <c r="B10" s="13" t="s">
        <v>1065</v>
      </c>
      <c r="C10" s="13" t="s">
        <v>871</v>
      </c>
      <c r="D10" s="13" t="s">
        <v>1066</v>
      </c>
    </row>
    <row r="11" spans="1:4" ht="30" customHeight="1" x14ac:dyDescent="0.45">
      <c r="A11" s="16" t="s">
        <v>575</v>
      </c>
      <c r="B11" s="16" t="s">
        <v>756</v>
      </c>
      <c r="C11" s="16" t="s">
        <v>862</v>
      </c>
      <c r="D11" s="16" t="s">
        <v>1067</v>
      </c>
    </row>
    <row r="12" spans="1:4" ht="30" customHeight="1" x14ac:dyDescent="0.45">
      <c r="A12" s="13" t="s">
        <v>1068</v>
      </c>
      <c r="B12" s="13" t="s">
        <v>1069</v>
      </c>
      <c r="C12" s="13" t="s">
        <v>852</v>
      </c>
      <c r="D12" s="13" t="s">
        <v>1070</v>
      </c>
    </row>
    <row r="13" spans="1:4" ht="30" customHeight="1" x14ac:dyDescent="0.45">
      <c r="A13" s="16" t="s">
        <v>1071</v>
      </c>
      <c r="B13" s="16" t="s">
        <v>1072</v>
      </c>
      <c r="C13" s="16" t="s">
        <v>843</v>
      </c>
      <c r="D13" s="16" t="s">
        <v>1073</v>
      </c>
    </row>
    <row r="14" spans="1:4" ht="30" customHeight="1" x14ac:dyDescent="0.45">
      <c r="A14" s="13" t="s">
        <v>1074</v>
      </c>
      <c r="B14" s="13" t="s">
        <v>1075</v>
      </c>
      <c r="C14" s="13" t="s">
        <v>1076</v>
      </c>
      <c r="D14" s="13" t="s">
        <v>1077</v>
      </c>
    </row>
    <row r="15" spans="1:4" ht="30" customHeight="1" x14ac:dyDescent="0.45">
      <c r="A15" s="16" t="s">
        <v>1078</v>
      </c>
      <c r="B15" s="16" t="s">
        <v>1079</v>
      </c>
      <c r="C15" s="16" t="s">
        <v>1076</v>
      </c>
      <c r="D15" s="16" t="s">
        <v>1080</v>
      </c>
    </row>
    <row r="16" spans="1:4" ht="30" customHeight="1" x14ac:dyDescent="0.45">
      <c r="A16" s="13" t="s">
        <v>1081</v>
      </c>
      <c r="B16" s="13" t="s">
        <v>1082</v>
      </c>
      <c r="C16" s="13" t="s">
        <v>1076</v>
      </c>
      <c r="D16" s="13" t="s">
        <v>1080</v>
      </c>
    </row>
  </sheetData>
  <mergeCells count="1">
    <mergeCell ref="A1: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8"/>
  <sheetViews>
    <sheetView showGridLines="0" workbookViewId="0">
      <pane xSplit="3" ySplit="3" topLeftCell="G4" activePane="bottomRight" state="frozen"/>
      <selection pane="topRight"/>
      <selection pane="bottomLeft"/>
      <selection pane="bottomRight" activeCell="I4" sqref="I4"/>
    </sheetView>
  </sheetViews>
  <sheetFormatPr defaultRowHeight="14.25" x14ac:dyDescent="0.45"/>
  <cols>
    <col min="1" max="1" width="10" customWidth="1"/>
    <col min="2" max="2" width="20" customWidth="1"/>
    <col min="3" max="3" width="24" customWidth="1"/>
    <col min="4" max="4" width="20" customWidth="1"/>
    <col min="5" max="6" width="22" customWidth="1"/>
    <col min="7" max="7" width="24" customWidth="1"/>
    <col min="8" max="8" width="22" customWidth="1"/>
    <col min="9" max="9" width="52" customWidth="1"/>
    <col min="10" max="10" width="18" customWidth="1"/>
    <col min="11" max="11" width="32" customWidth="1"/>
  </cols>
  <sheetData>
    <row r="1" spans="1:11" ht="17.649999999999999" x14ac:dyDescent="0.5">
      <c r="A1" s="42" t="s">
        <v>1083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x14ac:dyDescent="0.45">
      <c r="A2" s="47" t="s">
        <v>1084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3" spans="1:11" ht="26.25" x14ac:dyDescent="0.45">
      <c r="A3" s="12" t="s">
        <v>223</v>
      </c>
      <c r="B3" s="12" t="s">
        <v>224</v>
      </c>
      <c r="C3" s="12" t="s">
        <v>225</v>
      </c>
      <c r="D3" s="12" t="s">
        <v>767</v>
      </c>
      <c r="E3" s="12" t="s">
        <v>227</v>
      </c>
      <c r="F3" s="12" t="s">
        <v>768</v>
      </c>
      <c r="G3" s="12" t="s">
        <v>1085</v>
      </c>
      <c r="H3" s="12" t="s">
        <v>770</v>
      </c>
      <c r="I3" s="12" t="s">
        <v>231</v>
      </c>
      <c r="J3" s="12" t="s">
        <v>232</v>
      </c>
      <c r="K3" s="12" t="s">
        <v>233</v>
      </c>
    </row>
    <row r="4" spans="1:11" ht="157.5" customHeight="1" x14ac:dyDescent="0.45">
      <c r="A4" s="13" t="s">
        <v>1086</v>
      </c>
      <c r="B4" s="13" t="s">
        <v>1087</v>
      </c>
      <c r="C4" s="13" t="s">
        <v>1088</v>
      </c>
      <c r="D4" s="13" t="s">
        <v>1089</v>
      </c>
      <c r="E4" s="13" t="s">
        <v>1090</v>
      </c>
      <c r="F4" s="13" t="s">
        <v>1091</v>
      </c>
      <c r="G4" s="13" t="s">
        <v>1092</v>
      </c>
      <c r="H4" s="13" t="s">
        <v>1093</v>
      </c>
      <c r="I4" s="13" t="s">
        <v>1094</v>
      </c>
      <c r="J4" s="13" t="s">
        <v>1095</v>
      </c>
      <c r="K4" s="13" t="s">
        <v>1096</v>
      </c>
    </row>
    <row r="5" spans="1:11" ht="110" customHeight="1" x14ac:dyDescent="0.45">
      <c r="A5" s="16" t="s">
        <v>1097</v>
      </c>
      <c r="B5" s="16" t="s">
        <v>1087</v>
      </c>
      <c r="C5" s="16" t="s">
        <v>1098</v>
      </c>
      <c r="D5" s="16" t="s">
        <v>1099</v>
      </c>
      <c r="E5" s="16" t="s">
        <v>1100</v>
      </c>
      <c r="F5" s="16" t="s">
        <v>1101</v>
      </c>
      <c r="G5" s="16" t="s">
        <v>1102</v>
      </c>
      <c r="H5" s="16" t="s">
        <v>1103</v>
      </c>
      <c r="I5" s="16" t="s">
        <v>1104</v>
      </c>
      <c r="J5" s="16" t="s">
        <v>1105</v>
      </c>
      <c r="K5" s="16" t="s">
        <v>1106</v>
      </c>
    </row>
    <row r="6" spans="1:11" ht="110" customHeight="1" x14ac:dyDescent="0.45">
      <c r="A6" s="13" t="s">
        <v>1107</v>
      </c>
      <c r="B6" s="13" t="s">
        <v>1087</v>
      </c>
      <c r="C6" s="13" t="s">
        <v>1108</v>
      </c>
      <c r="D6" s="13" t="s">
        <v>1109</v>
      </c>
      <c r="E6" s="13" t="s">
        <v>1110</v>
      </c>
      <c r="F6" s="13" t="s">
        <v>1111</v>
      </c>
      <c r="G6" s="13" t="s">
        <v>1112</v>
      </c>
      <c r="H6" s="13" t="s">
        <v>1113</v>
      </c>
      <c r="I6" s="13" t="s">
        <v>1114</v>
      </c>
      <c r="J6" s="13" t="s">
        <v>1115</v>
      </c>
      <c r="K6" s="13" t="s">
        <v>1116</v>
      </c>
    </row>
    <row r="7" spans="1:11" ht="110" customHeight="1" x14ac:dyDescent="0.45">
      <c r="A7" s="16" t="s">
        <v>1117</v>
      </c>
      <c r="B7" s="16" t="s">
        <v>1087</v>
      </c>
      <c r="C7" s="16" t="s">
        <v>1118</v>
      </c>
      <c r="D7" s="16" t="s">
        <v>1119</v>
      </c>
      <c r="E7" s="16" t="s">
        <v>1120</v>
      </c>
      <c r="F7" s="16" t="s">
        <v>1121</v>
      </c>
      <c r="G7" s="16" t="s">
        <v>1122</v>
      </c>
      <c r="H7" s="16" t="s">
        <v>1123</v>
      </c>
      <c r="I7" s="16" t="s">
        <v>1124</v>
      </c>
      <c r="J7" s="16" t="s">
        <v>1125</v>
      </c>
      <c r="K7" s="16" t="s">
        <v>1126</v>
      </c>
    </row>
    <row r="8" spans="1:11" ht="110" customHeight="1" x14ac:dyDescent="0.45">
      <c r="A8" s="13" t="s">
        <v>1127</v>
      </c>
      <c r="B8" s="13" t="s">
        <v>1087</v>
      </c>
      <c r="C8" s="13" t="s">
        <v>1128</v>
      </c>
      <c r="D8" s="13" t="s">
        <v>1129</v>
      </c>
      <c r="E8" s="13" t="s">
        <v>1130</v>
      </c>
      <c r="F8" s="13" t="s">
        <v>1131</v>
      </c>
      <c r="G8" s="13" t="s">
        <v>1132</v>
      </c>
      <c r="H8" s="13" t="s">
        <v>1133</v>
      </c>
      <c r="I8" s="13" t="s">
        <v>1134</v>
      </c>
      <c r="J8" s="13" t="s">
        <v>1135</v>
      </c>
      <c r="K8" s="13" t="s">
        <v>1136</v>
      </c>
    </row>
    <row r="9" spans="1:11" ht="110" customHeight="1" x14ac:dyDescent="0.45">
      <c r="A9" s="16" t="s">
        <v>1137</v>
      </c>
      <c r="B9" s="16" t="s">
        <v>1138</v>
      </c>
      <c r="C9" s="16" t="s">
        <v>1139</v>
      </c>
      <c r="D9" s="16" t="s">
        <v>1140</v>
      </c>
      <c r="E9" s="16" t="s">
        <v>1141</v>
      </c>
      <c r="F9" s="16" t="s">
        <v>1142</v>
      </c>
      <c r="G9" s="16" t="s">
        <v>1143</v>
      </c>
      <c r="H9" s="16" t="s">
        <v>1144</v>
      </c>
      <c r="I9" s="16" t="s">
        <v>1145</v>
      </c>
      <c r="J9" s="16" t="s">
        <v>1146</v>
      </c>
      <c r="K9" s="16" t="s">
        <v>1147</v>
      </c>
    </row>
    <row r="10" spans="1:11" ht="110" customHeight="1" x14ac:dyDescent="0.45">
      <c r="A10" s="13" t="s">
        <v>1148</v>
      </c>
      <c r="B10" s="13" t="s">
        <v>1138</v>
      </c>
      <c r="C10" s="13" t="s">
        <v>1149</v>
      </c>
      <c r="D10" s="13" t="s">
        <v>1150</v>
      </c>
      <c r="E10" s="13" t="s">
        <v>1151</v>
      </c>
      <c r="F10" s="13" t="s">
        <v>1152</v>
      </c>
      <c r="G10" s="13" t="s">
        <v>1153</v>
      </c>
      <c r="H10" s="13" t="s">
        <v>1154</v>
      </c>
      <c r="I10" s="13" t="s">
        <v>1155</v>
      </c>
      <c r="J10" s="13" t="s">
        <v>1156</v>
      </c>
      <c r="K10" s="13" t="s">
        <v>1157</v>
      </c>
    </row>
    <row r="11" spans="1:11" ht="110" customHeight="1" x14ac:dyDescent="0.45">
      <c r="A11" s="16" t="s">
        <v>1158</v>
      </c>
      <c r="B11" s="16" t="s">
        <v>1138</v>
      </c>
      <c r="C11" s="16" t="s">
        <v>1159</v>
      </c>
      <c r="D11" s="16" t="s">
        <v>1160</v>
      </c>
      <c r="E11" s="16" t="s">
        <v>1161</v>
      </c>
      <c r="F11" s="16" t="s">
        <v>1162</v>
      </c>
      <c r="G11" s="16" t="s">
        <v>1163</v>
      </c>
      <c r="H11" s="16" t="s">
        <v>1164</v>
      </c>
      <c r="I11" s="16" t="s">
        <v>1165</v>
      </c>
      <c r="J11" s="16" t="s">
        <v>1146</v>
      </c>
      <c r="K11" s="16" t="s">
        <v>1166</v>
      </c>
    </row>
    <row r="12" spans="1:11" ht="110" customHeight="1" x14ac:dyDescent="0.45">
      <c r="A12" s="13" t="s">
        <v>1167</v>
      </c>
      <c r="B12" s="13" t="s">
        <v>1168</v>
      </c>
      <c r="C12" s="13" t="s">
        <v>1169</v>
      </c>
      <c r="D12" s="13" t="s">
        <v>1170</v>
      </c>
      <c r="E12" s="13" t="s">
        <v>1171</v>
      </c>
      <c r="F12" s="13" t="s">
        <v>1172</v>
      </c>
      <c r="G12" s="13" t="s">
        <v>1173</v>
      </c>
      <c r="H12" s="13" t="s">
        <v>1174</v>
      </c>
      <c r="I12" s="13" t="s">
        <v>1175</v>
      </c>
      <c r="J12" s="13" t="s">
        <v>1176</v>
      </c>
      <c r="K12" s="13" t="s">
        <v>1177</v>
      </c>
    </row>
    <row r="13" spans="1:11" ht="110" customHeight="1" x14ac:dyDescent="0.45">
      <c r="A13" s="16" t="s">
        <v>1178</v>
      </c>
      <c r="B13" s="16" t="s">
        <v>1168</v>
      </c>
      <c r="C13" s="16" t="s">
        <v>1179</v>
      </c>
      <c r="D13" s="16" t="s">
        <v>1180</v>
      </c>
      <c r="E13" s="16" t="s">
        <v>1181</v>
      </c>
      <c r="F13" s="16" t="s">
        <v>1182</v>
      </c>
      <c r="G13" s="16" t="s">
        <v>1183</v>
      </c>
      <c r="H13" s="16" t="s">
        <v>1184</v>
      </c>
      <c r="I13" s="16" t="s">
        <v>1185</v>
      </c>
      <c r="J13" s="16" t="s">
        <v>1176</v>
      </c>
      <c r="K13" s="16" t="s">
        <v>1186</v>
      </c>
    </row>
    <row r="14" spans="1:11" ht="110" customHeight="1" x14ac:dyDescent="0.45">
      <c r="A14" s="13" t="s">
        <v>1187</v>
      </c>
      <c r="B14" s="13" t="s">
        <v>1168</v>
      </c>
      <c r="C14" s="13" t="s">
        <v>1188</v>
      </c>
      <c r="D14" s="13" t="s">
        <v>1189</v>
      </c>
      <c r="E14" s="13" t="s">
        <v>1190</v>
      </c>
      <c r="F14" s="13" t="s">
        <v>1191</v>
      </c>
      <c r="G14" s="13" t="s">
        <v>1192</v>
      </c>
      <c r="H14" s="13" t="s">
        <v>1193</v>
      </c>
      <c r="I14" s="13" t="s">
        <v>1194</v>
      </c>
      <c r="J14" s="13" t="s">
        <v>1195</v>
      </c>
      <c r="K14" s="13" t="s">
        <v>1196</v>
      </c>
    </row>
    <row r="15" spans="1:11" ht="110" customHeight="1" x14ac:dyDescent="0.45">
      <c r="A15" s="16" t="s">
        <v>1197</v>
      </c>
      <c r="B15" s="16" t="s">
        <v>1198</v>
      </c>
      <c r="C15" s="16" t="s">
        <v>1199</v>
      </c>
      <c r="D15" s="16" t="s">
        <v>1200</v>
      </c>
      <c r="E15" s="16" t="s">
        <v>1201</v>
      </c>
      <c r="F15" s="16" t="s">
        <v>1202</v>
      </c>
      <c r="G15" s="16" t="s">
        <v>1203</v>
      </c>
      <c r="H15" s="16" t="s">
        <v>1204</v>
      </c>
      <c r="I15" s="16" t="s">
        <v>1205</v>
      </c>
      <c r="J15" s="16" t="s">
        <v>1206</v>
      </c>
      <c r="K15" s="16" t="s">
        <v>1207</v>
      </c>
    </row>
    <row r="16" spans="1:11" ht="110" customHeight="1" x14ac:dyDescent="0.45">
      <c r="A16" s="13" t="s">
        <v>1208</v>
      </c>
      <c r="B16" s="13" t="s">
        <v>1198</v>
      </c>
      <c r="C16" s="13" t="s">
        <v>1209</v>
      </c>
      <c r="D16" s="13" t="s">
        <v>1210</v>
      </c>
      <c r="E16" s="13" t="s">
        <v>1211</v>
      </c>
      <c r="F16" s="13" t="s">
        <v>1212</v>
      </c>
      <c r="G16" s="13" t="s">
        <v>1213</v>
      </c>
      <c r="H16" s="13" t="s">
        <v>1214</v>
      </c>
      <c r="I16" s="13" t="s">
        <v>1215</v>
      </c>
      <c r="J16" s="13" t="s">
        <v>1216</v>
      </c>
      <c r="K16" s="13" t="s">
        <v>1217</v>
      </c>
    </row>
    <row r="17" spans="1:11" ht="110" customHeight="1" x14ac:dyDescent="0.45">
      <c r="A17" s="16" t="s">
        <v>1218</v>
      </c>
      <c r="B17" s="16" t="s">
        <v>1219</v>
      </c>
      <c r="C17" s="16" t="s">
        <v>1220</v>
      </c>
      <c r="D17" s="16" t="s">
        <v>1221</v>
      </c>
      <c r="E17" s="16" t="s">
        <v>1222</v>
      </c>
      <c r="F17" s="16" t="s">
        <v>1223</v>
      </c>
      <c r="G17" s="16" t="s">
        <v>1224</v>
      </c>
      <c r="H17" s="16" t="s">
        <v>1225</v>
      </c>
      <c r="I17" s="16" t="s">
        <v>1226</v>
      </c>
      <c r="J17" s="16" t="s">
        <v>1227</v>
      </c>
      <c r="K17" s="16" t="s">
        <v>1228</v>
      </c>
    </row>
    <row r="18" spans="1:11" ht="110" customHeight="1" x14ac:dyDescent="0.45">
      <c r="A18" s="13" t="s">
        <v>1229</v>
      </c>
      <c r="B18" s="13" t="s">
        <v>1219</v>
      </c>
      <c r="C18" s="13" t="s">
        <v>1230</v>
      </c>
      <c r="D18" s="13" t="s">
        <v>1231</v>
      </c>
      <c r="E18" s="13" t="s">
        <v>1232</v>
      </c>
      <c r="F18" s="13" t="s">
        <v>1233</v>
      </c>
      <c r="G18" s="13" t="s">
        <v>1234</v>
      </c>
      <c r="H18" s="13" t="s">
        <v>1235</v>
      </c>
      <c r="I18" s="13" t="s">
        <v>1236</v>
      </c>
      <c r="J18" s="13" t="s">
        <v>1237</v>
      </c>
      <c r="K18" s="13" t="s">
        <v>1238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6"/>
  <sheetViews>
    <sheetView showGridLines="0" workbookViewId="0">
      <pane ySplit="3" topLeftCell="A4" activePane="bottomLeft" state="frozen"/>
      <selection pane="bottomLeft" sqref="A1:H1"/>
    </sheetView>
  </sheetViews>
  <sheetFormatPr defaultRowHeight="14.25" x14ac:dyDescent="0.45"/>
  <cols>
    <col min="1" max="1" width="10" customWidth="1"/>
    <col min="2" max="2" width="16" customWidth="1"/>
    <col min="3" max="3" width="56" customWidth="1"/>
    <col min="4" max="4" width="50" customWidth="1"/>
    <col min="5" max="5" width="32" customWidth="1"/>
    <col min="6" max="6" width="16" customWidth="1"/>
    <col min="7" max="7" width="28" customWidth="1"/>
    <col min="8" max="8" width="34" customWidth="1"/>
  </cols>
  <sheetData>
    <row r="1" spans="1:8" ht="17.649999999999999" x14ac:dyDescent="0.5">
      <c r="A1" s="42" t="s">
        <v>1239</v>
      </c>
      <c r="B1" s="37"/>
      <c r="C1" s="37"/>
      <c r="D1" s="37"/>
      <c r="E1" s="37"/>
      <c r="F1" s="37"/>
      <c r="G1" s="37"/>
      <c r="H1" s="37"/>
    </row>
    <row r="3" spans="1:8" x14ac:dyDescent="0.45">
      <c r="A3" s="12" t="s">
        <v>605</v>
      </c>
      <c r="B3" s="12" t="s">
        <v>224</v>
      </c>
      <c r="C3" s="12" t="s">
        <v>926</v>
      </c>
      <c r="D3" s="12" t="s">
        <v>927</v>
      </c>
      <c r="E3" s="12" t="s">
        <v>928</v>
      </c>
      <c r="F3" s="12" t="s">
        <v>1240</v>
      </c>
      <c r="G3" s="12" t="s">
        <v>1241</v>
      </c>
      <c r="H3" s="12" t="s">
        <v>1242</v>
      </c>
    </row>
    <row r="4" spans="1:8" ht="90" customHeight="1" x14ac:dyDescent="0.45">
      <c r="A4" s="13" t="s">
        <v>1243</v>
      </c>
      <c r="B4" s="13" t="s">
        <v>1244</v>
      </c>
      <c r="C4" s="13" t="s">
        <v>1245</v>
      </c>
      <c r="D4" s="13" t="s">
        <v>1246</v>
      </c>
      <c r="E4" s="13" t="s">
        <v>1247</v>
      </c>
      <c r="F4" s="13" t="s">
        <v>1248</v>
      </c>
      <c r="G4" s="13" t="s">
        <v>1249</v>
      </c>
      <c r="H4" s="13" t="s">
        <v>1096</v>
      </c>
    </row>
    <row r="5" spans="1:8" ht="90" customHeight="1" x14ac:dyDescent="0.45">
      <c r="A5" s="16" t="s">
        <v>1115</v>
      </c>
      <c r="B5" s="16" t="s">
        <v>1244</v>
      </c>
      <c r="C5" s="16" t="s">
        <v>1250</v>
      </c>
      <c r="D5" s="16" t="s">
        <v>1251</v>
      </c>
      <c r="E5" s="16" t="s">
        <v>1252</v>
      </c>
      <c r="F5" s="16" t="s">
        <v>1253</v>
      </c>
      <c r="G5" s="16" t="s">
        <v>1249</v>
      </c>
      <c r="H5" s="16" t="s">
        <v>1254</v>
      </c>
    </row>
    <row r="6" spans="1:8" ht="90" customHeight="1" x14ac:dyDescent="0.45">
      <c r="A6" s="13" t="s">
        <v>1125</v>
      </c>
      <c r="B6" s="13" t="s">
        <v>1244</v>
      </c>
      <c r="C6" s="13" t="s">
        <v>1255</v>
      </c>
      <c r="D6" s="13" t="s">
        <v>1256</v>
      </c>
      <c r="E6" s="13" t="s">
        <v>1257</v>
      </c>
      <c r="F6" s="13" t="s">
        <v>1117</v>
      </c>
      <c r="G6" s="13" t="s">
        <v>1258</v>
      </c>
      <c r="H6" s="13" t="s">
        <v>1259</v>
      </c>
    </row>
    <row r="7" spans="1:8" ht="90" customHeight="1" x14ac:dyDescent="0.45">
      <c r="A7" s="16" t="s">
        <v>1135</v>
      </c>
      <c r="B7" s="16" t="s">
        <v>1244</v>
      </c>
      <c r="C7" s="16" t="s">
        <v>1260</v>
      </c>
      <c r="D7" s="16" t="s">
        <v>1261</v>
      </c>
      <c r="E7" s="16" t="s">
        <v>1262</v>
      </c>
      <c r="F7" s="16" t="s">
        <v>1127</v>
      </c>
      <c r="G7" s="16" t="s">
        <v>1263</v>
      </c>
      <c r="H7" s="16" t="s">
        <v>1264</v>
      </c>
    </row>
    <row r="8" spans="1:8" ht="90" customHeight="1" x14ac:dyDescent="0.45">
      <c r="A8" s="13" t="s">
        <v>1146</v>
      </c>
      <c r="B8" s="13" t="s">
        <v>1265</v>
      </c>
      <c r="C8" s="13" t="s">
        <v>1266</v>
      </c>
      <c r="D8" s="13" t="s">
        <v>1267</v>
      </c>
      <c r="E8" s="13" t="s">
        <v>1268</v>
      </c>
      <c r="F8" s="13" t="s">
        <v>1269</v>
      </c>
      <c r="G8" s="13" t="s">
        <v>1270</v>
      </c>
      <c r="H8" s="13" t="s">
        <v>1147</v>
      </c>
    </row>
    <row r="9" spans="1:8" ht="90" customHeight="1" x14ac:dyDescent="0.45">
      <c r="A9" s="16" t="s">
        <v>1156</v>
      </c>
      <c r="B9" s="16" t="s">
        <v>1265</v>
      </c>
      <c r="C9" s="16" t="s">
        <v>1271</v>
      </c>
      <c r="D9" s="16" t="s">
        <v>1272</v>
      </c>
      <c r="E9" s="16" t="s">
        <v>1273</v>
      </c>
      <c r="F9" s="16" t="s">
        <v>1148</v>
      </c>
      <c r="G9" s="16" t="s">
        <v>1274</v>
      </c>
      <c r="H9" s="16" t="s">
        <v>1275</v>
      </c>
    </row>
    <row r="10" spans="1:8" ht="90" customHeight="1" x14ac:dyDescent="0.45">
      <c r="A10" s="13" t="s">
        <v>1176</v>
      </c>
      <c r="B10" s="13" t="s">
        <v>1276</v>
      </c>
      <c r="C10" s="13" t="s">
        <v>1277</v>
      </c>
      <c r="D10" s="13" t="s">
        <v>1278</v>
      </c>
      <c r="E10" s="13" t="s">
        <v>1279</v>
      </c>
      <c r="F10" s="13" t="s">
        <v>1280</v>
      </c>
      <c r="G10" s="13" t="s">
        <v>1281</v>
      </c>
      <c r="H10" s="13" t="s">
        <v>1282</v>
      </c>
    </row>
    <row r="11" spans="1:8" ht="90" customHeight="1" x14ac:dyDescent="0.45">
      <c r="A11" s="16" t="s">
        <v>1195</v>
      </c>
      <c r="B11" s="16" t="s">
        <v>1276</v>
      </c>
      <c r="C11" s="16" t="s">
        <v>1283</v>
      </c>
      <c r="D11" s="16" t="s">
        <v>1284</v>
      </c>
      <c r="E11" s="16" t="s">
        <v>1285</v>
      </c>
      <c r="F11" s="16" t="s">
        <v>1187</v>
      </c>
      <c r="G11" s="16" t="s">
        <v>1286</v>
      </c>
      <c r="H11" s="16" t="s">
        <v>1287</v>
      </c>
    </row>
    <row r="12" spans="1:8" ht="90" customHeight="1" x14ac:dyDescent="0.45">
      <c r="A12" s="13" t="s">
        <v>1288</v>
      </c>
      <c r="B12" s="13" t="s">
        <v>1289</v>
      </c>
      <c r="C12" s="13" t="s">
        <v>1290</v>
      </c>
      <c r="D12" s="13" t="s">
        <v>1291</v>
      </c>
      <c r="E12" s="13" t="s">
        <v>1292</v>
      </c>
      <c r="F12" s="13" t="s">
        <v>1197</v>
      </c>
      <c r="G12" s="13" t="s">
        <v>1293</v>
      </c>
      <c r="H12" s="13" t="s">
        <v>1294</v>
      </c>
    </row>
    <row r="13" spans="1:8" ht="90" customHeight="1" x14ac:dyDescent="0.45">
      <c r="A13" s="16" t="s">
        <v>1216</v>
      </c>
      <c r="B13" s="16" t="s">
        <v>1289</v>
      </c>
      <c r="C13" s="16" t="s">
        <v>1295</v>
      </c>
      <c r="D13" s="16" t="s">
        <v>1296</v>
      </c>
      <c r="E13" s="16" t="s">
        <v>1297</v>
      </c>
      <c r="F13" s="16" t="s">
        <v>1208</v>
      </c>
      <c r="G13" s="16" t="s">
        <v>1298</v>
      </c>
      <c r="H13" s="16" t="s">
        <v>1299</v>
      </c>
    </row>
    <row r="14" spans="1:8" ht="90" customHeight="1" x14ac:dyDescent="0.45">
      <c r="A14" s="13" t="s">
        <v>1300</v>
      </c>
      <c r="B14" s="13" t="s">
        <v>1289</v>
      </c>
      <c r="C14" s="13" t="s">
        <v>1301</v>
      </c>
      <c r="D14" s="13" t="s">
        <v>1302</v>
      </c>
      <c r="E14" s="13" t="s">
        <v>1303</v>
      </c>
      <c r="F14" s="13" t="s">
        <v>1208</v>
      </c>
      <c r="G14" s="13" t="s">
        <v>1304</v>
      </c>
      <c r="H14" s="13" t="s">
        <v>1305</v>
      </c>
    </row>
    <row r="15" spans="1:8" ht="90" customHeight="1" x14ac:dyDescent="0.45">
      <c r="A15" s="16" t="s">
        <v>1306</v>
      </c>
      <c r="B15" s="16" t="s">
        <v>1307</v>
      </c>
      <c r="C15" s="16" t="s">
        <v>1308</v>
      </c>
      <c r="D15" s="16" t="s">
        <v>1309</v>
      </c>
      <c r="E15" s="16" t="s">
        <v>1310</v>
      </c>
      <c r="F15" s="16" t="s">
        <v>1218</v>
      </c>
      <c r="G15" s="16" t="s">
        <v>1311</v>
      </c>
      <c r="H15" s="16" t="s">
        <v>1312</v>
      </c>
    </row>
    <row r="16" spans="1:8" ht="90" customHeight="1" x14ac:dyDescent="0.45">
      <c r="A16" s="13" t="s">
        <v>1237</v>
      </c>
      <c r="B16" s="13" t="s">
        <v>1307</v>
      </c>
      <c r="C16" s="13" t="s">
        <v>1313</v>
      </c>
      <c r="D16" s="13" t="s">
        <v>1314</v>
      </c>
      <c r="E16" s="13" t="s">
        <v>1315</v>
      </c>
      <c r="F16" s="13" t="s">
        <v>1316</v>
      </c>
      <c r="G16" s="13" t="s">
        <v>1317</v>
      </c>
      <c r="H16" s="13" t="s">
        <v>1318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8"/>
  <sheetViews>
    <sheetView showGridLines="0" workbookViewId="0">
      <selection activeCell="G24" sqref="G24"/>
    </sheetView>
  </sheetViews>
  <sheetFormatPr defaultRowHeight="14.25" x14ac:dyDescent="0.45"/>
  <cols>
    <col min="1" max="2" width="12" customWidth="1"/>
    <col min="3" max="4" width="14" customWidth="1"/>
    <col min="5" max="6" width="22" customWidth="1"/>
    <col min="7" max="7" width="14" customWidth="1"/>
    <col min="8" max="8" width="30" customWidth="1"/>
  </cols>
  <sheetData>
    <row r="1" spans="1:8" ht="17.649999999999999" x14ac:dyDescent="0.5">
      <c r="A1" s="42" t="s">
        <v>1319</v>
      </c>
      <c r="B1" s="37"/>
      <c r="C1" s="37"/>
      <c r="D1" s="37"/>
      <c r="E1" s="37"/>
      <c r="F1" s="37"/>
      <c r="G1" s="37"/>
      <c r="H1" s="37"/>
    </row>
    <row r="3" spans="1:8" ht="28.05" customHeight="1" x14ac:dyDescent="0.45">
      <c r="A3" s="12" t="s">
        <v>1016</v>
      </c>
      <c r="B3" s="12" t="s">
        <v>1017</v>
      </c>
      <c r="C3" s="12" t="s">
        <v>1320</v>
      </c>
      <c r="D3" s="12" t="s">
        <v>1321</v>
      </c>
      <c r="E3" s="12" t="s">
        <v>1322</v>
      </c>
      <c r="F3" s="12" t="s">
        <v>1323</v>
      </c>
      <c r="G3" s="12" t="s">
        <v>1324</v>
      </c>
      <c r="H3" s="12" t="s">
        <v>1022</v>
      </c>
    </row>
    <row r="4" spans="1:8" x14ac:dyDescent="0.45">
      <c r="A4" s="13" t="s">
        <v>1086</v>
      </c>
      <c r="B4" s="13" t="s">
        <v>1325</v>
      </c>
      <c r="C4" s="13" t="s">
        <v>1326</v>
      </c>
      <c r="D4" s="13" t="s">
        <v>92</v>
      </c>
      <c r="E4" s="13" t="s">
        <v>1327</v>
      </c>
      <c r="F4" s="13" t="s">
        <v>1328</v>
      </c>
      <c r="G4" s="13" t="s">
        <v>1329</v>
      </c>
      <c r="H4" s="13" t="s">
        <v>1330</v>
      </c>
    </row>
    <row r="5" spans="1:8" x14ac:dyDescent="0.45">
      <c r="A5" s="16" t="s">
        <v>1097</v>
      </c>
      <c r="B5" s="16" t="s">
        <v>1325</v>
      </c>
      <c r="C5" s="16" t="s">
        <v>1326</v>
      </c>
      <c r="D5" s="16" t="s">
        <v>92</v>
      </c>
      <c r="E5" s="16" t="s">
        <v>1331</v>
      </c>
      <c r="F5" s="16" t="s">
        <v>1328</v>
      </c>
      <c r="G5" s="16" t="s">
        <v>1332</v>
      </c>
      <c r="H5" s="16" t="s">
        <v>1333</v>
      </c>
    </row>
    <row r="6" spans="1:8" x14ac:dyDescent="0.45">
      <c r="A6" s="13" t="s">
        <v>1107</v>
      </c>
      <c r="B6" s="13" t="s">
        <v>1325</v>
      </c>
      <c r="C6" s="13" t="s">
        <v>1334</v>
      </c>
      <c r="D6" s="13" t="s">
        <v>92</v>
      </c>
      <c r="E6" s="13" t="s">
        <v>1331</v>
      </c>
      <c r="F6" s="13" t="s">
        <v>1328</v>
      </c>
      <c r="G6" s="13" t="s">
        <v>1335</v>
      </c>
      <c r="H6" s="13" t="s">
        <v>1336</v>
      </c>
    </row>
    <row r="7" spans="1:8" x14ac:dyDescent="0.45">
      <c r="A7" s="16" t="s">
        <v>1117</v>
      </c>
      <c r="B7" s="16" t="s">
        <v>1325</v>
      </c>
      <c r="C7" s="16" t="s">
        <v>1337</v>
      </c>
      <c r="D7" s="16" t="s">
        <v>92</v>
      </c>
      <c r="E7" s="16" t="s">
        <v>1327</v>
      </c>
      <c r="F7" s="16" t="s">
        <v>1328</v>
      </c>
      <c r="G7" s="16" t="s">
        <v>1338</v>
      </c>
      <c r="H7" s="16" t="s">
        <v>1339</v>
      </c>
    </row>
    <row r="8" spans="1:8" x14ac:dyDescent="0.45">
      <c r="A8" s="13" t="s">
        <v>1127</v>
      </c>
      <c r="B8" s="13" t="s">
        <v>1325</v>
      </c>
      <c r="C8" s="13" t="s">
        <v>92</v>
      </c>
      <c r="D8" s="13" t="s">
        <v>92</v>
      </c>
      <c r="E8" s="13" t="s">
        <v>1340</v>
      </c>
      <c r="F8" s="13" t="s">
        <v>1328</v>
      </c>
      <c r="G8" s="13" t="s">
        <v>1332</v>
      </c>
      <c r="H8" s="13" t="s">
        <v>1341</v>
      </c>
    </row>
    <row r="9" spans="1:8" x14ac:dyDescent="0.45">
      <c r="A9" s="16" t="s">
        <v>1137</v>
      </c>
      <c r="B9" s="16" t="s">
        <v>1325</v>
      </c>
      <c r="C9" s="16" t="s">
        <v>92</v>
      </c>
      <c r="D9" s="16" t="s">
        <v>1342</v>
      </c>
      <c r="E9" s="16" t="s">
        <v>92</v>
      </c>
      <c r="F9" s="16" t="s">
        <v>1343</v>
      </c>
      <c r="G9" s="16" t="s">
        <v>1332</v>
      </c>
      <c r="H9" s="16" t="s">
        <v>1344</v>
      </c>
    </row>
    <row r="10" spans="1:8" x14ac:dyDescent="0.45">
      <c r="A10" s="13" t="s">
        <v>1148</v>
      </c>
      <c r="B10" s="13" t="s">
        <v>1325</v>
      </c>
      <c r="C10" s="13" t="s">
        <v>92</v>
      </c>
      <c r="D10" s="13" t="s">
        <v>1345</v>
      </c>
      <c r="E10" s="13" t="s">
        <v>92</v>
      </c>
      <c r="F10" s="13" t="s">
        <v>1346</v>
      </c>
      <c r="G10" s="13" t="s">
        <v>1332</v>
      </c>
      <c r="H10" s="13" t="s">
        <v>1347</v>
      </c>
    </row>
    <row r="11" spans="1:8" x14ac:dyDescent="0.45">
      <c r="A11" s="16" t="s">
        <v>1158</v>
      </c>
      <c r="B11" s="16" t="s">
        <v>524</v>
      </c>
      <c r="C11" s="16" t="s">
        <v>92</v>
      </c>
      <c r="D11" s="16" t="s">
        <v>1348</v>
      </c>
      <c r="E11" s="16" t="s">
        <v>92</v>
      </c>
      <c r="F11" s="16" t="s">
        <v>1349</v>
      </c>
      <c r="G11" s="16" t="s">
        <v>1350</v>
      </c>
      <c r="H11" s="16" t="s">
        <v>1351</v>
      </c>
    </row>
    <row r="12" spans="1:8" x14ac:dyDescent="0.45">
      <c r="A12" s="13" t="s">
        <v>1167</v>
      </c>
      <c r="B12" s="13" t="s">
        <v>1352</v>
      </c>
      <c r="C12" s="13" t="s">
        <v>92</v>
      </c>
      <c r="D12" s="13" t="s">
        <v>1353</v>
      </c>
      <c r="E12" s="13" t="s">
        <v>92</v>
      </c>
      <c r="F12" s="13" t="s">
        <v>1354</v>
      </c>
      <c r="G12" s="13" t="s">
        <v>1332</v>
      </c>
      <c r="H12" s="13" t="s">
        <v>1355</v>
      </c>
    </row>
    <row r="13" spans="1:8" x14ac:dyDescent="0.45">
      <c r="A13" s="16" t="s">
        <v>1178</v>
      </c>
      <c r="B13" s="16" t="s">
        <v>1356</v>
      </c>
      <c r="C13" s="16" t="s">
        <v>1326</v>
      </c>
      <c r="D13" s="16" t="s">
        <v>92</v>
      </c>
      <c r="E13" s="16" t="s">
        <v>1327</v>
      </c>
      <c r="F13" s="16" t="s">
        <v>1357</v>
      </c>
      <c r="G13" s="16" t="s">
        <v>1332</v>
      </c>
      <c r="H13" s="16" t="s">
        <v>1179</v>
      </c>
    </row>
    <row r="14" spans="1:8" x14ac:dyDescent="0.45">
      <c r="A14" s="13" t="s">
        <v>1187</v>
      </c>
      <c r="B14" s="13" t="s">
        <v>1358</v>
      </c>
      <c r="C14" s="13" t="s">
        <v>92</v>
      </c>
      <c r="D14" s="13" t="s">
        <v>1353</v>
      </c>
      <c r="E14" s="13" t="s">
        <v>92</v>
      </c>
      <c r="F14" s="13" t="s">
        <v>1343</v>
      </c>
      <c r="G14" s="13" t="s">
        <v>1350</v>
      </c>
      <c r="H14" s="13" t="s">
        <v>1359</v>
      </c>
    </row>
    <row r="15" spans="1:8" x14ac:dyDescent="0.45">
      <c r="A15" s="16" t="s">
        <v>1197</v>
      </c>
      <c r="B15" s="16" t="s">
        <v>1325</v>
      </c>
      <c r="C15" s="16" t="s">
        <v>92</v>
      </c>
      <c r="D15" s="16" t="s">
        <v>92</v>
      </c>
      <c r="E15" s="16" t="s">
        <v>92</v>
      </c>
      <c r="F15" s="16" t="s">
        <v>1360</v>
      </c>
      <c r="G15" s="16" t="s">
        <v>1361</v>
      </c>
      <c r="H15" s="16" t="s">
        <v>1362</v>
      </c>
    </row>
    <row r="16" spans="1:8" x14ac:dyDescent="0.45">
      <c r="A16" s="13" t="s">
        <v>1208</v>
      </c>
      <c r="B16" s="13" t="s">
        <v>1325</v>
      </c>
      <c r="C16" s="13" t="s">
        <v>92</v>
      </c>
      <c r="D16" s="13" t="s">
        <v>92</v>
      </c>
      <c r="E16" s="13" t="s">
        <v>92</v>
      </c>
      <c r="F16" s="13" t="s">
        <v>1363</v>
      </c>
      <c r="G16" s="13" t="s">
        <v>541</v>
      </c>
      <c r="H16" s="13" t="s">
        <v>1364</v>
      </c>
    </row>
    <row r="17" spans="1:8" x14ac:dyDescent="0.45">
      <c r="A17" s="16" t="s">
        <v>1218</v>
      </c>
      <c r="B17" s="16" t="s">
        <v>1325</v>
      </c>
      <c r="C17" s="16" t="s">
        <v>1326</v>
      </c>
      <c r="D17" s="16" t="s">
        <v>92</v>
      </c>
      <c r="E17" s="16" t="s">
        <v>1365</v>
      </c>
      <c r="F17" s="16" t="s">
        <v>1366</v>
      </c>
      <c r="G17" s="16" t="s">
        <v>1332</v>
      </c>
      <c r="H17" s="16" t="s">
        <v>1367</v>
      </c>
    </row>
    <row r="18" spans="1:8" x14ac:dyDescent="0.45">
      <c r="A18" s="13" t="s">
        <v>1229</v>
      </c>
      <c r="B18" s="13" t="s">
        <v>1325</v>
      </c>
      <c r="C18" s="13" t="s">
        <v>92</v>
      </c>
      <c r="D18" s="13" t="s">
        <v>92</v>
      </c>
      <c r="E18" s="13" t="s">
        <v>92</v>
      </c>
      <c r="F18" s="13" t="s">
        <v>1368</v>
      </c>
      <c r="G18" s="13" t="s">
        <v>1332</v>
      </c>
      <c r="H18" s="13" t="s">
        <v>1369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6"/>
  <sheetViews>
    <sheetView showGridLines="0" tabSelected="1" workbookViewId="0">
      <selection activeCell="B11" sqref="B11"/>
    </sheetView>
  </sheetViews>
  <sheetFormatPr defaultRowHeight="14.25" x14ac:dyDescent="0.45"/>
  <cols>
    <col min="1" max="1" width="28" customWidth="1"/>
    <col min="2" max="2" width="36" customWidth="1"/>
    <col min="3" max="3" width="24" customWidth="1"/>
    <col min="4" max="4" width="56" customWidth="1"/>
  </cols>
  <sheetData>
    <row r="1" spans="1:4" ht="17.649999999999999" x14ac:dyDescent="0.5">
      <c r="A1" s="42" t="s">
        <v>1370</v>
      </c>
      <c r="B1" s="37"/>
      <c r="C1" s="37"/>
      <c r="D1" s="37"/>
    </row>
    <row r="3" spans="1:4" ht="30" customHeight="1" x14ac:dyDescent="0.45">
      <c r="A3" s="12" t="s">
        <v>1041</v>
      </c>
      <c r="B3" s="12" t="s">
        <v>550</v>
      </c>
      <c r="C3" s="12" t="s">
        <v>1371</v>
      </c>
      <c r="D3" s="12" t="s">
        <v>500</v>
      </c>
    </row>
    <row r="4" spans="1:4" ht="30" customHeight="1" x14ac:dyDescent="0.45">
      <c r="A4" s="13" t="s">
        <v>552</v>
      </c>
      <c r="B4" s="13" t="s">
        <v>1043</v>
      </c>
      <c r="C4" s="13" t="s">
        <v>1372</v>
      </c>
      <c r="D4" s="13" t="s">
        <v>1373</v>
      </c>
    </row>
    <row r="5" spans="1:4" ht="30" customHeight="1" x14ac:dyDescent="0.45">
      <c r="A5" s="16" t="s">
        <v>1374</v>
      </c>
      <c r="B5" s="16" t="s">
        <v>1046</v>
      </c>
      <c r="C5" s="16" t="s">
        <v>1375</v>
      </c>
      <c r="D5" s="16" t="s">
        <v>1376</v>
      </c>
    </row>
    <row r="6" spans="1:4" ht="30" customHeight="1" x14ac:dyDescent="0.45">
      <c r="A6" s="13" t="s">
        <v>1068</v>
      </c>
      <c r="B6" s="13" t="s">
        <v>1377</v>
      </c>
      <c r="C6" s="13" t="s">
        <v>1097</v>
      </c>
      <c r="D6" s="13" t="s">
        <v>1378</v>
      </c>
    </row>
    <row r="7" spans="1:4" ht="30" customHeight="1" x14ac:dyDescent="0.45">
      <c r="A7" s="16" t="s">
        <v>1379</v>
      </c>
      <c r="B7" s="16" t="s">
        <v>1380</v>
      </c>
      <c r="C7" s="16" t="s">
        <v>1107</v>
      </c>
      <c r="D7" s="16" t="s">
        <v>1381</v>
      </c>
    </row>
    <row r="8" spans="1:4" ht="30" customHeight="1" x14ac:dyDescent="0.45">
      <c r="A8" s="13" t="s">
        <v>1382</v>
      </c>
      <c r="B8" s="13" t="s">
        <v>1383</v>
      </c>
      <c r="C8" s="13" t="s">
        <v>1280</v>
      </c>
      <c r="D8" s="13" t="s">
        <v>1384</v>
      </c>
    </row>
    <row r="9" spans="1:4" ht="30" customHeight="1" x14ac:dyDescent="0.45">
      <c r="A9" s="16" t="s">
        <v>580</v>
      </c>
      <c r="B9" s="16" t="s">
        <v>581</v>
      </c>
      <c r="C9" s="16" t="s">
        <v>1385</v>
      </c>
      <c r="D9" s="16" t="s">
        <v>1386</v>
      </c>
    </row>
    <row r="10" spans="1:4" ht="30" customHeight="1" x14ac:dyDescent="0.45">
      <c r="A10" s="13" t="s">
        <v>1387</v>
      </c>
      <c r="B10" s="13" t="s">
        <v>584</v>
      </c>
      <c r="C10" s="13" t="s">
        <v>92</v>
      </c>
      <c r="D10" s="13" t="s">
        <v>1388</v>
      </c>
    </row>
    <row r="11" spans="1:4" ht="30" customHeight="1" x14ac:dyDescent="0.45">
      <c r="A11" s="16" t="s">
        <v>1389</v>
      </c>
      <c r="B11" s="16" t="s">
        <v>1390</v>
      </c>
      <c r="C11" s="16" t="s">
        <v>1391</v>
      </c>
      <c r="D11" s="16" t="s">
        <v>1392</v>
      </c>
    </row>
    <row r="12" spans="1:4" ht="30" customHeight="1" x14ac:dyDescent="0.45">
      <c r="A12" s="13" t="s">
        <v>1393</v>
      </c>
      <c r="B12" s="13" t="s">
        <v>1394</v>
      </c>
      <c r="C12" s="13" t="s">
        <v>92</v>
      </c>
      <c r="D12" s="13" t="s">
        <v>1395</v>
      </c>
    </row>
    <row r="13" spans="1:4" ht="30" customHeight="1" x14ac:dyDescent="0.45">
      <c r="A13" s="16" t="s">
        <v>1078</v>
      </c>
      <c r="B13" s="16" t="s">
        <v>1396</v>
      </c>
      <c r="C13" s="16" t="s">
        <v>92</v>
      </c>
      <c r="D13" s="16" t="s">
        <v>1397</v>
      </c>
    </row>
    <row r="14" spans="1:4" ht="30" customHeight="1" x14ac:dyDescent="0.45">
      <c r="A14" s="13" t="s">
        <v>1398</v>
      </c>
      <c r="B14" s="13" t="s">
        <v>1399</v>
      </c>
      <c r="C14" s="13" t="s">
        <v>92</v>
      </c>
      <c r="D14" s="13" t="s">
        <v>1397</v>
      </c>
    </row>
    <row r="15" spans="1:4" ht="30" customHeight="1" x14ac:dyDescent="0.45">
      <c r="A15" s="16" t="s">
        <v>1400</v>
      </c>
      <c r="B15" s="16" t="s">
        <v>1401</v>
      </c>
      <c r="C15" s="16" t="s">
        <v>1402</v>
      </c>
      <c r="D15" s="16" t="s">
        <v>1403</v>
      </c>
    </row>
    <row r="16" spans="1:4" ht="30" customHeight="1" x14ac:dyDescent="0.45">
      <c r="A16" s="13" t="s">
        <v>1404</v>
      </c>
      <c r="B16" s="13" t="s">
        <v>1405</v>
      </c>
      <c r="C16" s="13" t="s">
        <v>1229</v>
      </c>
      <c r="D16" s="13" t="s">
        <v>1406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Cover</vt:lpstr>
      <vt:lpstr>Actor Layer</vt:lpstr>
      <vt:lpstr>Scenario Catalog</vt:lpstr>
      <vt:lpstr>Kinematic Calc</vt:lpstr>
      <vt:lpstr>Headway Envelope</vt:lpstr>
      <vt:lpstr>Sensitivity</vt:lpstr>
      <vt:lpstr>Parameter Matrix</vt:lpstr>
      <vt:lpstr>ODD Mapping</vt:lpstr>
      <vt:lpstr>OCC Requirements</vt:lpstr>
      <vt:lpstr>Traceability</vt:lpstr>
      <vt:lpstr>TRF Scenario Catalog</vt:lpstr>
      <vt:lpstr>TRF Requirements</vt:lpstr>
      <vt:lpstr>TRF Parameter Matrix</vt:lpstr>
      <vt:lpstr>TRF ODD Mapping</vt:lpstr>
      <vt:lpstr>SIG Scenario Catalog</vt:lpstr>
      <vt:lpstr>SIG Requirements</vt:lpstr>
      <vt:lpstr>SIG Parameter Matrix</vt:lpstr>
      <vt:lpstr>SIG ODD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Neil Benhamou</cp:lastModifiedBy>
  <dcterms:created xsi:type="dcterms:W3CDTF">2026-04-19T15:01:46Z</dcterms:created>
  <dcterms:modified xsi:type="dcterms:W3CDTF">2026-04-24T11:58:04Z</dcterms:modified>
</cp:coreProperties>
</file>